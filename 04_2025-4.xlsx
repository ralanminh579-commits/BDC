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DCX_Chichchoe\nam 2025\BaoYen+LD-Le 30.4\"/>
    </mc:Choice>
  </mc:AlternateContent>
  <xr:revisionPtr revIDLastSave="0" documentId="13_ncr:1_{E5257273-E734-4DA9-8282-CB59DD267CD1}" xr6:coauthVersionLast="47" xr6:coauthVersionMax="47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58" sheetId="10" state="hidden" r:id="rId1"/>
    <sheet name="30" sheetId="11" state="hidden" r:id="rId2"/>
    <sheet name="38" sheetId="12" state="hidden" r:id="rId3"/>
    <sheet name="130" sheetId="26" r:id="rId4"/>
    <sheet name="170" sheetId="25" r:id="rId5"/>
    <sheet name="200" sheetId="13" state="hidden" r:id="rId6"/>
  </sheets>
  <definedNames>
    <definedName name="_Fill" localSheetId="1" hidden="1">#REF!</definedName>
    <definedName name="_Fill" localSheetId="2" hidden="1">#REF!</definedName>
    <definedName name="_Fill" hidden="1">#REF!</definedName>
    <definedName name="_xlnm._FilterDatabase" localSheetId="3" hidden="1">'130'!$B$4:$S$4</definedName>
    <definedName name="_xlnm._FilterDatabase" localSheetId="4" hidden="1">'170'!$B$4:$S$4</definedName>
    <definedName name="_xlnm._FilterDatabase" localSheetId="5" hidden="1">'200'!$B$4:$S$4</definedName>
    <definedName name="_xlnm._FilterDatabase" localSheetId="1" hidden="1">'30'!$A$1:$S$18</definedName>
    <definedName name="_xlnm._FilterDatabase" localSheetId="2" hidden="1">'38'!$A$1:$S$22</definedName>
    <definedName name="_xlnm._FilterDatabase" localSheetId="0" hidden="1">'58'!$A$1:$S$32</definedName>
    <definedName name="_xlnm.Print_Titles" localSheetId="3">'130'!$3:$4</definedName>
    <definedName name="_xlnm.Print_Titles" localSheetId="4">'170'!$3:$4</definedName>
    <definedName name="_xlnm.Print_Titles" localSheetId="5">'200'!$3:$4</definedName>
    <definedName name="_xlnm.Print_Titles" localSheetId="1">'30'!$2:$3</definedName>
    <definedName name="_xlnm.Print_Titles" localSheetId="2">'38'!$2:$3</definedName>
    <definedName name="_xlnm.Print_Titles" localSheetId="0">'58'!$2:$3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" i="25" l="1"/>
  <c r="H73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11" i="26"/>
  <c r="D7" i="26"/>
  <c r="E7" i="26"/>
  <c r="D8" i="26"/>
  <c r="E8" i="26"/>
  <c r="D9" i="26"/>
  <c r="E9" i="26"/>
  <c r="D10" i="26"/>
  <c r="E10" i="26"/>
  <c r="D11" i="26"/>
  <c r="E11" i="26"/>
  <c r="D12" i="26"/>
  <c r="E12" i="26"/>
  <c r="D13" i="26"/>
  <c r="E13" i="26"/>
  <c r="D14" i="26"/>
  <c r="E14" i="26"/>
  <c r="D15" i="26"/>
  <c r="E15" i="26"/>
  <c r="D16" i="26"/>
  <c r="E16" i="26"/>
  <c r="D17" i="26"/>
  <c r="E17" i="26"/>
  <c r="D18" i="26"/>
  <c r="E18" i="26"/>
  <c r="D19" i="26"/>
  <c r="E19" i="26"/>
  <c r="D20" i="26"/>
  <c r="E20" i="26"/>
  <c r="D21" i="26"/>
  <c r="E21" i="26"/>
  <c r="D22" i="26"/>
  <c r="E22" i="26"/>
  <c r="D23" i="26"/>
  <c r="E23" i="26"/>
  <c r="D24" i="26"/>
  <c r="E24" i="26"/>
  <c r="D25" i="26"/>
  <c r="E25" i="26"/>
  <c r="D26" i="26"/>
  <c r="E26" i="26"/>
  <c r="D27" i="26"/>
  <c r="E27" i="26"/>
  <c r="D28" i="26"/>
  <c r="E28" i="26"/>
  <c r="D29" i="26"/>
  <c r="E29" i="26"/>
  <c r="D30" i="26"/>
  <c r="E30" i="26"/>
  <c r="D31" i="26"/>
  <c r="E31" i="26"/>
  <c r="D32" i="26"/>
  <c r="E32" i="26"/>
  <c r="D33" i="26"/>
  <c r="E33" i="26"/>
  <c r="D34" i="26"/>
  <c r="E34" i="26"/>
  <c r="D35" i="26"/>
  <c r="E35" i="26"/>
  <c r="D36" i="26"/>
  <c r="E36" i="26"/>
  <c r="D37" i="26"/>
  <c r="E37" i="26"/>
  <c r="D38" i="26"/>
  <c r="E38" i="26"/>
  <c r="D39" i="26"/>
  <c r="E39" i="26"/>
  <c r="D40" i="26"/>
  <c r="E40" i="26"/>
  <c r="D41" i="26"/>
  <c r="E41" i="26"/>
  <c r="D42" i="26"/>
  <c r="E42" i="26"/>
  <c r="D43" i="26"/>
  <c r="E43" i="26"/>
  <c r="D44" i="26"/>
  <c r="E44" i="26"/>
  <c r="D45" i="26"/>
  <c r="E45" i="26"/>
  <c r="D46" i="26"/>
  <c r="E46" i="26"/>
  <c r="D47" i="26"/>
  <c r="E47" i="26"/>
  <c r="D48" i="26"/>
  <c r="E48" i="26"/>
  <c r="D49" i="26"/>
  <c r="E49" i="26"/>
  <c r="D50" i="26"/>
  <c r="E50" i="26"/>
  <c r="D51" i="26"/>
  <c r="E51" i="26"/>
  <c r="D52" i="26"/>
  <c r="E52" i="26"/>
  <c r="D53" i="26"/>
  <c r="E53" i="26"/>
  <c r="D54" i="26"/>
  <c r="E54" i="26"/>
  <c r="D55" i="26"/>
  <c r="E55" i="26"/>
  <c r="D56" i="26"/>
  <c r="E56" i="26"/>
  <c r="D57" i="26"/>
  <c r="E57" i="26"/>
  <c r="D58" i="26"/>
  <c r="E58" i="26"/>
  <c r="D59" i="26"/>
  <c r="E59" i="26"/>
  <c r="D60" i="26"/>
  <c r="E60" i="26"/>
  <c r="D61" i="26"/>
  <c r="E61" i="26"/>
  <c r="D62" i="26"/>
  <c r="E62" i="26"/>
  <c r="D63" i="26"/>
  <c r="E63" i="26"/>
  <c r="D64" i="26"/>
  <c r="E64" i="26"/>
  <c r="D65" i="26"/>
  <c r="E65" i="26"/>
  <c r="D66" i="26"/>
  <c r="E66" i="26"/>
  <c r="D67" i="26"/>
  <c r="E67" i="26"/>
  <c r="D68" i="26"/>
  <c r="E68" i="26"/>
  <c r="D69" i="26"/>
  <c r="E69" i="26"/>
  <c r="D6" i="26"/>
  <c r="E6" i="26"/>
  <c r="C75" i="26"/>
  <c r="C74" i="26"/>
  <c r="R5" i="26"/>
  <c r="S5" i="26"/>
  <c r="R6" i="26"/>
  <c r="S6" i="26"/>
  <c r="R7" i="26"/>
  <c r="S7" i="26"/>
  <c r="R8" i="26"/>
  <c r="S8" i="26"/>
  <c r="R9" i="26"/>
  <c r="S9" i="26"/>
  <c r="R10" i="26"/>
  <c r="S10" i="26"/>
  <c r="R11" i="26"/>
  <c r="S11" i="26"/>
  <c r="R12" i="26"/>
  <c r="S12" i="26"/>
  <c r="R13" i="26"/>
  <c r="S13" i="26"/>
  <c r="R14" i="26"/>
  <c r="S14" i="26"/>
  <c r="R15" i="26"/>
  <c r="S15" i="26"/>
  <c r="R16" i="26"/>
  <c r="S16" i="26"/>
  <c r="R17" i="26"/>
  <c r="S17" i="26"/>
  <c r="R18" i="26"/>
  <c r="S18" i="26"/>
  <c r="R19" i="26"/>
  <c r="S19" i="26"/>
  <c r="R20" i="26"/>
  <c r="S20" i="26"/>
  <c r="R21" i="26"/>
  <c r="S21" i="26"/>
  <c r="R22" i="26"/>
  <c r="S22" i="26"/>
  <c r="R23" i="26"/>
  <c r="S23" i="26"/>
  <c r="R24" i="26"/>
  <c r="S24" i="26"/>
  <c r="R25" i="26"/>
  <c r="S25" i="26"/>
  <c r="R26" i="26"/>
  <c r="S26" i="26"/>
  <c r="R27" i="26"/>
  <c r="S27" i="26"/>
  <c r="R28" i="26"/>
  <c r="S28" i="26"/>
  <c r="R29" i="26"/>
  <c r="S29" i="26"/>
  <c r="R30" i="26"/>
  <c r="S30" i="26"/>
  <c r="R31" i="26"/>
  <c r="S31" i="26"/>
  <c r="R32" i="26"/>
  <c r="S32" i="26"/>
  <c r="R33" i="26"/>
  <c r="S33" i="26"/>
  <c r="R34" i="26"/>
  <c r="S34" i="26"/>
  <c r="R35" i="26"/>
  <c r="S35" i="26"/>
  <c r="R36" i="26"/>
  <c r="S36" i="26"/>
  <c r="R37" i="26"/>
  <c r="S37" i="26"/>
  <c r="R38" i="26"/>
  <c r="S38" i="26"/>
  <c r="R39" i="26"/>
  <c r="S39" i="26"/>
  <c r="R40" i="26"/>
  <c r="S40" i="26"/>
  <c r="R41" i="26"/>
  <c r="S41" i="26"/>
  <c r="R42" i="26"/>
  <c r="S42" i="26"/>
  <c r="R43" i="26"/>
  <c r="S43" i="26"/>
  <c r="R44" i="26"/>
  <c r="S44" i="26"/>
  <c r="R45" i="26"/>
  <c r="S45" i="26"/>
  <c r="R46" i="26"/>
  <c r="S46" i="26"/>
  <c r="R47" i="26"/>
  <c r="S47" i="26"/>
  <c r="R48" i="26"/>
  <c r="S48" i="26"/>
  <c r="R49" i="26"/>
  <c r="S49" i="26"/>
  <c r="R50" i="26"/>
  <c r="S50" i="26"/>
  <c r="R51" i="26"/>
  <c r="S51" i="26"/>
  <c r="R52" i="26"/>
  <c r="S52" i="26"/>
  <c r="R53" i="26"/>
  <c r="S53" i="26"/>
  <c r="R54" i="26"/>
  <c r="S54" i="26"/>
  <c r="R55" i="26"/>
  <c r="S55" i="26"/>
  <c r="R56" i="26"/>
  <c r="S56" i="26"/>
  <c r="R57" i="26"/>
  <c r="S57" i="26"/>
  <c r="R58" i="26"/>
  <c r="S58" i="26"/>
  <c r="R59" i="26"/>
  <c r="S59" i="26"/>
  <c r="R60" i="26"/>
  <c r="S60" i="26"/>
  <c r="R61" i="26"/>
  <c r="S61" i="26"/>
  <c r="R62" i="26"/>
  <c r="S62" i="26"/>
  <c r="R63" i="26"/>
  <c r="S63" i="26"/>
  <c r="R64" i="26"/>
  <c r="S64" i="26"/>
  <c r="R65" i="26"/>
  <c r="S65" i="26"/>
  <c r="R66" i="26"/>
  <c r="S66" i="26"/>
  <c r="R67" i="26"/>
  <c r="S67" i="26"/>
  <c r="R68" i="26"/>
  <c r="S68" i="26"/>
  <c r="R69" i="26"/>
  <c r="S69" i="26"/>
  <c r="R3" i="26"/>
  <c r="S3" i="26"/>
  <c r="S1" i="26"/>
  <c r="C72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I71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H71" i="26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C71" i="26"/>
  <c r="G69" i="26"/>
  <c r="Q69" i="26"/>
  <c r="P69" i="26"/>
  <c r="C69" i="26"/>
  <c r="O69" i="26"/>
  <c r="N69" i="26"/>
  <c r="Q68" i="26"/>
  <c r="P68" i="26"/>
  <c r="O68" i="26"/>
  <c r="N68" i="26"/>
  <c r="Q67" i="26"/>
  <c r="P67" i="26"/>
  <c r="O67" i="26"/>
  <c r="N67" i="26"/>
  <c r="Q66" i="26"/>
  <c r="P66" i="26"/>
  <c r="O66" i="26"/>
  <c r="N66" i="26"/>
  <c r="Q65" i="26"/>
  <c r="P65" i="26"/>
  <c r="O65" i="26"/>
  <c r="N65" i="26"/>
  <c r="Q64" i="26"/>
  <c r="P64" i="26"/>
  <c r="O64" i="26"/>
  <c r="N64" i="26"/>
  <c r="Q63" i="26"/>
  <c r="P63" i="26"/>
  <c r="O63" i="26"/>
  <c r="N63" i="26"/>
  <c r="Q62" i="26"/>
  <c r="P62" i="26"/>
  <c r="O62" i="26"/>
  <c r="N62" i="26"/>
  <c r="Q61" i="26"/>
  <c r="P61" i="26"/>
  <c r="O61" i="26"/>
  <c r="N61" i="26"/>
  <c r="Q60" i="26"/>
  <c r="P60" i="26"/>
  <c r="O60" i="26"/>
  <c r="N60" i="26"/>
  <c r="Q59" i="26"/>
  <c r="P59" i="26"/>
  <c r="O59" i="26"/>
  <c r="N59" i="26"/>
  <c r="Q58" i="26"/>
  <c r="P58" i="26"/>
  <c r="O58" i="26"/>
  <c r="N58" i="26"/>
  <c r="Q57" i="26"/>
  <c r="P57" i="26"/>
  <c r="O57" i="26"/>
  <c r="N57" i="26"/>
  <c r="Q56" i="26"/>
  <c r="P56" i="26"/>
  <c r="O56" i="26"/>
  <c r="N56" i="26"/>
  <c r="Q55" i="26"/>
  <c r="P55" i="26"/>
  <c r="O55" i="26"/>
  <c r="N55" i="26"/>
  <c r="Q54" i="26"/>
  <c r="P54" i="26"/>
  <c r="O54" i="26"/>
  <c r="N54" i="26"/>
  <c r="Q53" i="26"/>
  <c r="P53" i="26"/>
  <c r="O53" i="26"/>
  <c r="N53" i="26"/>
  <c r="Q52" i="26"/>
  <c r="P52" i="26"/>
  <c r="O52" i="26"/>
  <c r="N52" i="26"/>
  <c r="Q51" i="26"/>
  <c r="P51" i="26"/>
  <c r="O51" i="26"/>
  <c r="N51" i="26"/>
  <c r="Q50" i="26"/>
  <c r="P50" i="26"/>
  <c r="O50" i="26"/>
  <c r="N50" i="26"/>
  <c r="Q49" i="26"/>
  <c r="P49" i="26"/>
  <c r="O49" i="26"/>
  <c r="N49" i="26"/>
  <c r="Q48" i="26"/>
  <c r="P48" i="26"/>
  <c r="O48" i="26"/>
  <c r="N48" i="26"/>
  <c r="Q47" i="26"/>
  <c r="P47" i="26"/>
  <c r="O47" i="26"/>
  <c r="N47" i="26"/>
  <c r="Q46" i="26"/>
  <c r="P46" i="26"/>
  <c r="O46" i="26"/>
  <c r="N46" i="26"/>
  <c r="Q45" i="26"/>
  <c r="P45" i="26"/>
  <c r="O45" i="26"/>
  <c r="N45" i="26"/>
  <c r="Q44" i="26"/>
  <c r="P44" i="26"/>
  <c r="O44" i="26"/>
  <c r="N44" i="26"/>
  <c r="Q43" i="26"/>
  <c r="P43" i="26"/>
  <c r="O43" i="26"/>
  <c r="N43" i="26"/>
  <c r="Q42" i="26"/>
  <c r="P42" i="26"/>
  <c r="O42" i="26"/>
  <c r="N42" i="26"/>
  <c r="Q41" i="26"/>
  <c r="P41" i="26"/>
  <c r="O41" i="26"/>
  <c r="N41" i="26"/>
  <c r="Q40" i="26"/>
  <c r="P40" i="26"/>
  <c r="O40" i="26"/>
  <c r="N40" i="26"/>
  <c r="Q39" i="26"/>
  <c r="P39" i="26"/>
  <c r="O39" i="26"/>
  <c r="N39" i="26"/>
  <c r="Q38" i="26"/>
  <c r="P38" i="26"/>
  <c r="O38" i="26"/>
  <c r="N38" i="26"/>
  <c r="Q37" i="26"/>
  <c r="P37" i="26"/>
  <c r="O37" i="26"/>
  <c r="N37" i="26"/>
  <c r="Q36" i="26"/>
  <c r="P36" i="26"/>
  <c r="O36" i="26"/>
  <c r="N36" i="26"/>
  <c r="Q35" i="26"/>
  <c r="P35" i="26"/>
  <c r="O35" i="26"/>
  <c r="N35" i="26"/>
  <c r="Q34" i="26"/>
  <c r="P34" i="26"/>
  <c r="O34" i="26"/>
  <c r="N34" i="26"/>
  <c r="Q33" i="26"/>
  <c r="P33" i="26"/>
  <c r="O33" i="26"/>
  <c r="N33" i="26"/>
  <c r="Q32" i="26"/>
  <c r="P32" i="26"/>
  <c r="O32" i="26"/>
  <c r="N32" i="26"/>
  <c r="Q31" i="26"/>
  <c r="P31" i="26"/>
  <c r="O31" i="26"/>
  <c r="N31" i="26"/>
  <c r="Q30" i="26"/>
  <c r="P30" i="26"/>
  <c r="O30" i="26"/>
  <c r="N30" i="26"/>
  <c r="Q29" i="26"/>
  <c r="P29" i="26"/>
  <c r="O29" i="26"/>
  <c r="N29" i="26"/>
  <c r="Q28" i="26"/>
  <c r="P28" i="26"/>
  <c r="O28" i="26"/>
  <c r="N28" i="26"/>
  <c r="Q27" i="26"/>
  <c r="P27" i="26"/>
  <c r="O27" i="26"/>
  <c r="N27" i="26"/>
  <c r="Q26" i="26"/>
  <c r="P26" i="26"/>
  <c r="O26" i="26"/>
  <c r="N26" i="26"/>
  <c r="Q25" i="26"/>
  <c r="P25" i="26"/>
  <c r="O25" i="26"/>
  <c r="N25" i="26"/>
  <c r="Q24" i="26"/>
  <c r="P24" i="26"/>
  <c r="O24" i="26"/>
  <c r="N24" i="26"/>
  <c r="Q23" i="26"/>
  <c r="P23" i="26"/>
  <c r="O23" i="26"/>
  <c r="N23" i="26"/>
  <c r="Q22" i="26"/>
  <c r="P22" i="26"/>
  <c r="O22" i="26"/>
  <c r="N22" i="26"/>
  <c r="Q21" i="26"/>
  <c r="P21" i="26"/>
  <c r="O21" i="26"/>
  <c r="N21" i="26"/>
  <c r="Q20" i="26"/>
  <c r="P20" i="26"/>
  <c r="O20" i="26"/>
  <c r="N20" i="26"/>
  <c r="Q19" i="26"/>
  <c r="P19" i="26"/>
  <c r="O19" i="26"/>
  <c r="N19" i="26"/>
  <c r="Q18" i="26"/>
  <c r="P18" i="26"/>
  <c r="O18" i="26"/>
  <c r="N18" i="26"/>
  <c r="Q17" i="26"/>
  <c r="P17" i="26"/>
  <c r="O17" i="26"/>
  <c r="N17" i="26"/>
  <c r="Q16" i="26"/>
  <c r="P16" i="26"/>
  <c r="O16" i="26"/>
  <c r="N16" i="26"/>
  <c r="Q15" i="26"/>
  <c r="P15" i="26"/>
  <c r="O15" i="26"/>
  <c r="N15" i="26"/>
  <c r="Q14" i="26"/>
  <c r="P14" i="26"/>
  <c r="O14" i="26"/>
  <c r="N14" i="26"/>
  <c r="Q13" i="26"/>
  <c r="P13" i="26"/>
  <c r="O13" i="26"/>
  <c r="N13" i="26"/>
  <c r="Q12" i="26"/>
  <c r="P12" i="26"/>
  <c r="O12" i="26"/>
  <c r="N12" i="26"/>
  <c r="Q11" i="26"/>
  <c r="P11" i="26"/>
  <c r="O11" i="26"/>
  <c r="N11" i="26"/>
  <c r="Q10" i="26"/>
  <c r="P10" i="26"/>
  <c r="O10" i="26"/>
  <c r="N10" i="26"/>
  <c r="Q9" i="26"/>
  <c r="P9" i="26"/>
  <c r="O9" i="26"/>
  <c r="N9" i="26"/>
  <c r="Q8" i="26"/>
  <c r="P8" i="26"/>
  <c r="O8" i="26"/>
  <c r="N8" i="26"/>
  <c r="Q7" i="26"/>
  <c r="P7" i="26"/>
  <c r="O7" i="26"/>
  <c r="N7" i="26"/>
  <c r="Q6" i="26"/>
  <c r="P6" i="26"/>
  <c r="O6" i="26"/>
  <c r="N6" i="26"/>
  <c r="Q5" i="26"/>
  <c r="P5" i="26"/>
  <c r="O5" i="26"/>
  <c r="N5" i="26"/>
  <c r="I3" i="26"/>
  <c r="I1" i="26"/>
  <c r="H1" i="26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74" i="25"/>
  <c r="I75" i="25"/>
  <c r="I76" i="25"/>
  <c r="I77" i="25"/>
  <c r="I78" i="25"/>
  <c r="I79" i="25"/>
  <c r="I80" i="25"/>
  <c r="I81" i="25"/>
  <c r="I82" i="25"/>
  <c r="I83" i="25"/>
  <c r="I84" i="25"/>
  <c r="I85" i="25"/>
  <c r="I86" i="25"/>
  <c r="I87" i="25"/>
  <c r="I88" i="25"/>
  <c r="I89" i="25"/>
  <c r="I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13" i="25"/>
  <c r="C92" i="25"/>
  <c r="S3" i="25"/>
  <c r="R3" i="25"/>
  <c r="D7" i="25"/>
  <c r="E7" i="25"/>
  <c r="D8" i="25"/>
  <c r="E8" i="25"/>
  <c r="D9" i="25"/>
  <c r="E9" i="25"/>
  <c r="D10" i="25"/>
  <c r="E10" i="25"/>
  <c r="D11" i="25"/>
  <c r="E11" i="25"/>
  <c r="D12" i="25"/>
  <c r="E12" i="25"/>
  <c r="D13" i="25"/>
  <c r="E13" i="25"/>
  <c r="D14" i="25"/>
  <c r="E14" i="25"/>
  <c r="D15" i="25"/>
  <c r="E15" i="25"/>
  <c r="D16" i="25"/>
  <c r="E16" i="25"/>
  <c r="D17" i="25"/>
  <c r="E17" i="25"/>
  <c r="D18" i="25"/>
  <c r="E18" i="25"/>
  <c r="D19" i="25"/>
  <c r="E19" i="25"/>
  <c r="D20" i="25"/>
  <c r="E20" i="25"/>
  <c r="D21" i="25"/>
  <c r="E21" i="25"/>
  <c r="D22" i="25"/>
  <c r="E22" i="25"/>
  <c r="D23" i="25"/>
  <c r="E23" i="25"/>
  <c r="D24" i="25"/>
  <c r="E24" i="25"/>
  <c r="D25" i="25"/>
  <c r="E25" i="25"/>
  <c r="D26" i="25"/>
  <c r="E26" i="25"/>
  <c r="D27" i="25"/>
  <c r="E27" i="25"/>
  <c r="D28" i="25"/>
  <c r="E28" i="25"/>
  <c r="D29" i="25"/>
  <c r="E29" i="25"/>
  <c r="D30" i="25"/>
  <c r="E30" i="25"/>
  <c r="D31" i="25"/>
  <c r="E31" i="25"/>
  <c r="D32" i="25"/>
  <c r="E32" i="25"/>
  <c r="D33" i="25"/>
  <c r="E33" i="25"/>
  <c r="D34" i="25"/>
  <c r="E34" i="25"/>
  <c r="D35" i="25"/>
  <c r="E35" i="25"/>
  <c r="D36" i="25"/>
  <c r="E36" i="25"/>
  <c r="D37" i="25"/>
  <c r="E37" i="25"/>
  <c r="D38" i="25"/>
  <c r="E38" i="25"/>
  <c r="D39" i="25"/>
  <c r="E39" i="25"/>
  <c r="D40" i="25"/>
  <c r="E40" i="25"/>
  <c r="D41" i="25"/>
  <c r="E41" i="25"/>
  <c r="D42" i="25"/>
  <c r="E42" i="25"/>
  <c r="D43" i="25"/>
  <c r="E43" i="25"/>
  <c r="D44" i="25"/>
  <c r="E44" i="25"/>
  <c r="D45" i="25"/>
  <c r="E45" i="25"/>
  <c r="D46" i="25"/>
  <c r="E46" i="25"/>
  <c r="D47" i="25"/>
  <c r="E47" i="25"/>
  <c r="D48" i="25"/>
  <c r="E48" i="25"/>
  <c r="D49" i="25"/>
  <c r="E49" i="25"/>
  <c r="D50" i="25"/>
  <c r="E50" i="25"/>
  <c r="D51" i="25"/>
  <c r="E51" i="25"/>
  <c r="D52" i="25"/>
  <c r="E52" i="25"/>
  <c r="D53" i="25"/>
  <c r="E53" i="25"/>
  <c r="D54" i="25"/>
  <c r="E54" i="25"/>
  <c r="D55" i="25"/>
  <c r="E55" i="25"/>
  <c r="D56" i="25"/>
  <c r="E56" i="25"/>
  <c r="D57" i="25"/>
  <c r="E57" i="25"/>
  <c r="D58" i="25"/>
  <c r="E58" i="25"/>
  <c r="D59" i="25"/>
  <c r="E59" i="25"/>
  <c r="D60" i="25"/>
  <c r="E60" i="25"/>
  <c r="D61" i="25"/>
  <c r="E61" i="25"/>
  <c r="D62" i="25"/>
  <c r="E62" i="25"/>
  <c r="D63" i="25"/>
  <c r="E63" i="25"/>
  <c r="D64" i="25"/>
  <c r="E64" i="25"/>
  <c r="D65" i="25"/>
  <c r="E65" i="25"/>
  <c r="D66" i="25"/>
  <c r="E66" i="25"/>
  <c r="D67" i="25"/>
  <c r="E67" i="25"/>
  <c r="D68" i="25"/>
  <c r="E68" i="25"/>
  <c r="D69" i="25"/>
  <c r="E69" i="25"/>
  <c r="D70" i="25"/>
  <c r="E70" i="25"/>
  <c r="D71" i="25"/>
  <c r="E71" i="25"/>
  <c r="D72" i="25"/>
  <c r="E72" i="25"/>
  <c r="D73" i="25"/>
  <c r="E73" i="25"/>
  <c r="D74" i="25"/>
  <c r="E74" i="25"/>
  <c r="D75" i="25"/>
  <c r="E75" i="25"/>
  <c r="D76" i="25"/>
  <c r="E76" i="25"/>
  <c r="D77" i="25"/>
  <c r="E77" i="25"/>
  <c r="D78" i="25"/>
  <c r="E78" i="25"/>
  <c r="D79" i="25"/>
  <c r="E79" i="25"/>
  <c r="D80" i="25"/>
  <c r="E80" i="25"/>
  <c r="D81" i="25"/>
  <c r="E81" i="25"/>
  <c r="D82" i="25"/>
  <c r="E82" i="25"/>
  <c r="D83" i="25"/>
  <c r="E83" i="25"/>
  <c r="D84" i="25"/>
  <c r="E84" i="25"/>
  <c r="D85" i="25"/>
  <c r="E85" i="25"/>
  <c r="D86" i="25"/>
  <c r="E86" i="25"/>
  <c r="D87" i="25"/>
  <c r="E87" i="25"/>
  <c r="D88" i="25"/>
  <c r="E88" i="25"/>
  <c r="D89" i="25"/>
  <c r="E89" i="25"/>
  <c r="G77" i="25"/>
  <c r="G78" i="25"/>
  <c r="G79" i="25"/>
  <c r="G80" i="25"/>
  <c r="G81" i="25"/>
  <c r="G76" i="25"/>
  <c r="C77" i="25"/>
  <c r="C78" i="25"/>
  <c r="C79" i="25"/>
  <c r="C80" i="25"/>
  <c r="C81" i="25"/>
  <c r="C76" i="25"/>
  <c r="G71" i="25"/>
  <c r="G72" i="25"/>
  <c r="G70" i="25"/>
  <c r="C71" i="25"/>
  <c r="C72" i="25"/>
  <c r="C70" i="25"/>
  <c r="S89" i="25"/>
  <c r="R89" i="25"/>
  <c r="P89" i="25"/>
  <c r="N89" i="25"/>
  <c r="G89" i="25"/>
  <c r="Q89" i="25"/>
  <c r="C89" i="25"/>
  <c r="O89" i="25"/>
  <c r="S88" i="25"/>
  <c r="R88" i="25"/>
  <c r="P88" i="25"/>
  <c r="O88" i="25"/>
  <c r="N88" i="25"/>
  <c r="G88" i="25"/>
  <c r="Q88" i="25"/>
  <c r="C88" i="25"/>
  <c r="S87" i="25"/>
  <c r="R87" i="25"/>
  <c r="P87" i="25"/>
  <c r="N87" i="25"/>
  <c r="G87" i="25"/>
  <c r="Q87" i="25"/>
  <c r="C87" i="25"/>
  <c r="O87" i="25"/>
  <c r="S86" i="25"/>
  <c r="R86" i="25"/>
  <c r="P86" i="25"/>
  <c r="N86" i="25"/>
  <c r="G86" i="25"/>
  <c r="Q86" i="25"/>
  <c r="C86" i="25"/>
  <c r="O86" i="25"/>
  <c r="S85" i="25"/>
  <c r="R85" i="25"/>
  <c r="P85" i="25"/>
  <c r="N85" i="25"/>
  <c r="G85" i="25"/>
  <c r="Q85" i="25"/>
  <c r="C85" i="25"/>
  <c r="O85" i="25"/>
  <c r="S84" i="25"/>
  <c r="R84" i="25"/>
  <c r="P84" i="25"/>
  <c r="N84" i="25"/>
  <c r="G84" i="25"/>
  <c r="Q84" i="25"/>
  <c r="C84" i="25"/>
  <c r="O84" i="25"/>
  <c r="S83" i="25"/>
  <c r="R83" i="25"/>
  <c r="P83" i="25"/>
  <c r="N83" i="25"/>
  <c r="G83" i="25"/>
  <c r="Q83" i="25"/>
  <c r="C83" i="25"/>
  <c r="O83" i="25"/>
  <c r="S82" i="25"/>
  <c r="R82" i="25"/>
  <c r="P82" i="25"/>
  <c r="N82" i="25"/>
  <c r="G82" i="25"/>
  <c r="Q82" i="25"/>
  <c r="C82" i="25"/>
  <c r="O82" i="25"/>
  <c r="S81" i="25"/>
  <c r="R81" i="25"/>
  <c r="P81" i="25"/>
  <c r="N81" i="25"/>
  <c r="O81" i="25"/>
  <c r="S80" i="25"/>
  <c r="R80" i="25"/>
  <c r="P80" i="25"/>
  <c r="O80" i="25"/>
  <c r="N80" i="25"/>
  <c r="S79" i="25"/>
  <c r="R79" i="25"/>
  <c r="P79" i="25"/>
  <c r="N79" i="25"/>
  <c r="Q79" i="25"/>
  <c r="S78" i="25"/>
  <c r="R78" i="25"/>
  <c r="P78" i="25"/>
  <c r="N78" i="25"/>
  <c r="Q78" i="25"/>
  <c r="S77" i="25"/>
  <c r="R77" i="25"/>
  <c r="P77" i="25"/>
  <c r="N77" i="25"/>
  <c r="O77" i="25"/>
  <c r="S76" i="25"/>
  <c r="R76" i="25"/>
  <c r="P76" i="25"/>
  <c r="N76" i="25"/>
  <c r="S75" i="25"/>
  <c r="R75" i="25"/>
  <c r="P75" i="25"/>
  <c r="O75" i="25"/>
  <c r="N75" i="25"/>
  <c r="G75" i="25"/>
  <c r="Q75" i="25"/>
  <c r="C75" i="25"/>
  <c r="S74" i="25"/>
  <c r="R74" i="25"/>
  <c r="Q74" i="25"/>
  <c r="P74" i="25"/>
  <c r="N74" i="25"/>
  <c r="G74" i="25"/>
  <c r="C74" i="25"/>
  <c r="S73" i="25"/>
  <c r="R73" i="25"/>
  <c r="P73" i="25"/>
  <c r="N73" i="25"/>
  <c r="G73" i="25"/>
  <c r="C73" i="25"/>
  <c r="O73" i="25"/>
  <c r="S72" i="25"/>
  <c r="R72" i="25"/>
  <c r="P72" i="25"/>
  <c r="N72" i="25"/>
  <c r="O72" i="25"/>
  <c r="S71" i="25"/>
  <c r="R71" i="25"/>
  <c r="P71" i="25"/>
  <c r="N71" i="25"/>
  <c r="Q71" i="25"/>
  <c r="S70" i="25"/>
  <c r="R70" i="25"/>
  <c r="P70" i="25"/>
  <c r="N70" i="25"/>
  <c r="S69" i="25"/>
  <c r="R69" i="25"/>
  <c r="P69" i="25"/>
  <c r="N69" i="25"/>
  <c r="G69" i="25"/>
  <c r="C69" i="25"/>
  <c r="O69" i="25"/>
  <c r="S68" i="25"/>
  <c r="R68" i="25"/>
  <c r="P68" i="25"/>
  <c r="O68" i="25"/>
  <c r="N68" i="25"/>
  <c r="G68" i="25"/>
  <c r="C68" i="25"/>
  <c r="S67" i="25"/>
  <c r="R67" i="25"/>
  <c r="P67" i="25"/>
  <c r="N67" i="25"/>
  <c r="G67" i="25"/>
  <c r="Q67" i="25"/>
  <c r="C67" i="25"/>
  <c r="S66" i="25"/>
  <c r="R66" i="25"/>
  <c r="P66" i="25"/>
  <c r="N66" i="25"/>
  <c r="G66" i="25"/>
  <c r="Q66" i="25"/>
  <c r="C66" i="25"/>
  <c r="S65" i="25"/>
  <c r="R65" i="25"/>
  <c r="P65" i="25"/>
  <c r="N65" i="25"/>
  <c r="G65" i="25"/>
  <c r="C65" i="25"/>
  <c r="O65" i="25"/>
  <c r="S64" i="25"/>
  <c r="R64" i="25"/>
  <c r="P64" i="25"/>
  <c r="O64" i="25"/>
  <c r="N64" i="25"/>
  <c r="G64" i="25"/>
  <c r="C64" i="25"/>
  <c r="S63" i="25"/>
  <c r="R63" i="25"/>
  <c r="P63" i="25"/>
  <c r="N63" i="25"/>
  <c r="G63" i="25"/>
  <c r="Q63" i="25"/>
  <c r="C63" i="25"/>
  <c r="S62" i="25"/>
  <c r="R62" i="25"/>
  <c r="Q62" i="25"/>
  <c r="P62" i="25"/>
  <c r="N62" i="25"/>
  <c r="G62" i="25"/>
  <c r="C62" i="25"/>
  <c r="S61" i="25"/>
  <c r="R61" i="25"/>
  <c r="P61" i="25"/>
  <c r="N61" i="25"/>
  <c r="G61" i="25"/>
  <c r="C61" i="25"/>
  <c r="O61" i="25"/>
  <c r="S60" i="25"/>
  <c r="R60" i="25"/>
  <c r="P60" i="25"/>
  <c r="N60" i="25"/>
  <c r="G60" i="25"/>
  <c r="C60" i="25"/>
  <c r="S59" i="25"/>
  <c r="R59" i="25"/>
  <c r="P59" i="25"/>
  <c r="O59" i="25"/>
  <c r="N59" i="25"/>
  <c r="G59" i="25"/>
  <c r="Q59" i="25"/>
  <c r="C59" i="25"/>
  <c r="S58" i="25"/>
  <c r="R58" i="25"/>
  <c r="P58" i="25"/>
  <c r="N58" i="25"/>
  <c r="G58" i="25"/>
  <c r="C58" i="25"/>
  <c r="S57" i="25"/>
  <c r="R57" i="25"/>
  <c r="P57" i="25"/>
  <c r="N57" i="25"/>
  <c r="G57" i="25"/>
  <c r="C57" i="25"/>
  <c r="O57" i="25"/>
  <c r="S56" i="25"/>
  <c r="R56" i="25"/>
  <c r="P56" i="25"/>
  <c r="N56" i="25"/>
  <c r="G56" i="25"/>
  <c r="C56" i="25"/>
  <c r="O56" i="25"/>
  <c r="S55" i="25"/>
  <c r="R55" i="25"/>
  <c r="P55" i="25"/>
  <c r="N55" i="25"/>
  <c r="G55" i="25"/>
  <c r="Q55" i="25"/>
  <c r="C55" i="25"/>
  <c r="S54" i="25"/>
  <c r="R54" i="25"/>
  <c r="P54" i="25"/>
  <c r="N54" i="25"/>
  <c r="G54" i="25"/>
  <c r="C54" i="25"/>
  <c r="S53" i="25"/>
  <c r="R53" i="25"/>
  <c r="P53" i="25"/>
  <c r="N53" i="25"/>
  <c r="G53" i="25"/>
  <c r="C53" i="25"/>
  <c r="O53" i="25"/>
  <c r="S52" i="25"/>
  <c r="R52" i="25"/>
  <c r="P52" i="25"/>
  <c r="N52" i="25"/>
  <c r="G52" i="25"/>
  <c r="C52" i="25"/>
  <c r="S51" i="25"/>
  <c r="R51" i="25"/>
  <c r="P51" i="25"/>
  <c r="N51" i="25"/>
  <c r="G51" i="25"/>
  <c r="Q51" i="25"/>
  <c r="C51" i="25"/>
  <c r="S50" i="25"/>
  <c r="R50" i="25"/>
  <c r="P50" i="25"/>
  <c r="N50" i="25"/>
  <c r="G50" i="25"/>
  <c r="Q50" i="25"/>
  <c r="C50" i="25"/>
  <c r="S49" i="25"/>
  <c r="R49" i="25"/>
  <c r="P49" i="25"/>
  <c r="N49" i="25"/>
  <c r="G49" i="25"/>
  <c r="C49" i="25"/>
  <c r="S48" i="25"/>
  <c r="R48" i="25"/>
  <c r="P48" i="25"/>
  <c r="O48" i="25"/>
  <c r="N48" i="25"/>
  <c r="G48" i="25"/>
  <c r="C48" i="25"/>
  <c r="S47" i="25"/>
  <c r="R47" i="25"/>
  <c r="P47" i="25"/>
  <c r="N47" i="25"/>
  <c r="G47" i="25"/>
  <c r="Q47" i="25"/>
  <c r="C47" i="25"/>
  <c r="S46" i="25"/>
  <c r="R46" i="25"/>
  <c r="P46" i="25"/>
  <c r="N46" i="25"/>
  <c r="G46" i="25"/>
  <c r="Q46" i="25"/>
  <c r="C46" i="25"/>
  <c r="S45" i="25"/>
  <c r="R45" i="25"/>
  <c r="P45" i="25"/>
  <c r="N45" i="25"/>
  <c r="G45" i="25"/>
  <c r="C45" i="25"/>
  <c r="S44" i="25"/>
  <c r="R44" i="25"/>
  <c r="P44" i="25"/>
  <c r="N44" i="25"/>
  <c r="G44" i="25"/>
  <c r="C44" i="25"/>
  <c r="S43" i="25"/>
  <c r="R43" i="25"/>
  <c r="P43" i="25"/>
  <c r="N43" i="25"/>
  <c r="G43" i="25"/>
  <c r="Q43" i="25"/>
  <c r="C43" i="25"/>
  <c r="S42" i="25"/>
  <c r="R42" i="25"/>
  <c r="P42" i="25"/>
  <c r="N42" i="25"/>
  <c r="G42" i="25"/>
  <c r="C42" i="25"/>
  <c r="S41" i="25"/>
  <c r="R41" i="25"/>
  <c r="P41" i="25"/>
  <c r="N41" i="25"/>
  <c r="G41" i="25"/>
  <c r="C41" i="25"/>
  <c r="S40" i="25"/>
  <c r="R40" i="25"/>
  <c r="P40" i="25"/>
  <c r="N40" i="25"/>
  <c r="G40" i="25"/>
  <c r="C40" i="25"/>
  <c r="S39" i="25"/>
  <c r="R39" i="25"/>
  <c r="P39" i="25"/>
  <c r="N39" i="25"/>
  <c r="G39" i="25"/>
  <c r="Q39" i="25"/>
  <c r="C39" i="25"/>
  <c r="S38" i="25"/>
  <c r="R38" i="25"/>
  <c r="P38" i="25"/>
  <c r="N38" i="25"/>
  <c r="G38" i="25"/>
  <c r="C38" i="25"/>
  <c r="S37" i="25"/>
  <c r="R37" i="25"/>
  <c r="P37" i="25"/>
  <c r="N37" i="25"/>
  <c r="G37" i="25"/>
  <c r="C37" i="25"/>
  <c r="S36" i="25"/>
  <c r="R36" i="25"/>
  <c r="P36" i="25"/>
  <c r="N36" i="25"/>
  <c r="G36" i="25"/>
  <c r="C36" i="25"/>
  <c r="S35" i="25"/>
  <c r="R35" i="25"/>
  <c r="P35" i="25"/>
  <c r="O35" i="25"/>
  <c r="N35" i="25"/>
  <c r="G35" i="25"/>
  <c r="Q35" i="25"/>
  <c r="C35" i="25"/>
  <c r="S34" i="25"/>
  <c r="R34" i="25"/>
  <c r="P34" i="25"/>
  <c r="N34" i="25"/>
  <c r="G34" i="25"/>
  <c r="C34" i="25"/>
  <c r="S33" i="25"/>
  <c r="R33" i="25"/>
  <c r="P33" i="25"/>
  <c r="N33" i="25"/>
  <c r="G33" i="25"/>
  <c r="C33" i="25"/>
  <c r="O33" i="25"/>
  <c r="S32" i="25"/>
  <c r="R32" i="25"/>
  <c r="P32" i="25"/>
  <c r="N32" i="25"/>
  <c r="G32" i="25"/>
  <c r="C32" i="25"/>
  <c r="S31" i="25"/>
  <c r="R31" i="25"/>
  <c r="P31" i="25"/>
  <c r="N31" i="25"/>
  <c r="G31" i="25"/>
  <c r="Q31" i="25"/>
  <c r="C31" i="25"/>
  <c r="S30" i="25"/>
  <c r="R30" i="25"/>
  <c r="P30" i="25"/>
  <c r="N30" i="25"/>
  <c r="G30" i="25"/>
  <c r="C30" i="25"/>
  <c r="S29" i="25"/>
  <c r="R29" i="25"/>
  <c r="P29" i="25"/>
  <c r="O29" i="25"/>
  <c r="N29" i="25"/>
  <c r="G29" i="25"/>
  <c r="C29" i="25"/>
  <c r="S28" i="25"/>
  <c r="R28" i="25"/>
  <c r="P28" i="25"/>
  <c r="N28" i="25"/>
  <c r="G28" i="25"/>
  <c r="Q28" i="25"/>
  <c r="C28" i="25"/>
  <c r="O28" i="25"/>
  <c r="S27" i="25"/>
  <c r="R27" i="25"/>
  <c r="P27" i="25"/>
  <c r="N27" i="25"/>
  <c r="G27" i="25"/>
  <c r="Q27" i="25"/>
  <c r="C27" i="25"/>
  <c r="O27" i="25"/>
  <c r="S26" i="25"/>
  <c r="R26" i="25"/>
  <c r="P26" i="25"/>
  <c r="N26" i="25"/>
  <c r="G26" i="25"/>
  <c r="Q26" i="25"/>
  <c r="C26" i="25"/>
  <c r="O26" i="25"/>
  <c r="S25" i="25"/>
  <c r="R25" i="25"/>
  <c r="P25" i="25"/>
  <c r="O25" i="25"/>
  <c r="N25" i="25"/>
  <c r="G25" i="25"/>
  <c r="Q25" i="25"/>
  <c r="C25" i="25"/>
  <c r="S24" i="25"/>
  <c r="R24" i="25"/>
  <c r="P24" i="25"/>
  <c r="N24" i="25"/>
  <c r="G24" i="25"/>
  <c r="Q24" i="25"/>
  <c r="C24" i="25"/>
  <c r="O24" i="25"/>
  <c r="S23" i="25"/>
  <c r="R23" i="25"/>
  <c r="P23" i="25"/>
  <c r="N23" i="25"/>
  <c r="G23" i="25"/>
  <c r="Q23" i="25"/>
  <c r="C23" i="25"/>
  <c r="O23" i="25"/>
  <c r="S22" i="25"/>
  <c r="R22" i="25"/>
  <c r="P22" i="25"/>
  <c r="N22" i="25"/>
  <c r="G22" i="25"/>
  <c r="Q22" i="25"/>
  <c r="C22" i="25"/>
  <c r="O22" i="25"/>
  <c r="S21" i="25"/>
  <c r="R21" i="25"/>
  <c r="P21" i="25"/>
  <c r="O21" i="25"/>
  <c r="N21" i="25"/>
  <c r="G21" i="25"/>
  <c r="Q21" i="25"/>
  <c r="C21" i="25"/>
  <c r="S20" i="25"/>
  <c r="R20" i="25"/>
  <c r="P20" i="25"/>
  <c r="N20" i="25"/>
  <c r="G20" i="25"/>
  <c r="Q20" i="25"/>
  <c r="C20" i="25"/>
  <c r="O20" i="25"/>
  <c r="S19" i="25"/>
  <c r="R19" i="25"/>
  <c r="P19" i="25"/>
  <c r="N19" i="25"/>
  <c r="G19" i="25"/>
  <c r="Q19" i="25"/>
  <c r="C19" i="25"/>
  <c r="O19" i="25"/>
  <c r="S18" i="25"/>
  <c r="R18" i="25"/>
  <c r="P18" i="25"/>
  <c r="O18" i="25"/>
  <c r="N18" i="25"/>
  <c r="G18" i="25"/>
  <c r="C18" i="25"/>
  <c r="S17" i="25"/>
  <c r="R17" i="25"/>
  <c r="P17" i="25"/>
  <c r="N17" i="25"/>
  <c r="G17" i="25"/>
  <c r="Q17" i="25"/>
  <c r="C17" i="25"/>
  <c r="O17" i="25"/>
  <c r="S16" i="25"/>
  <c r="R16" i="25"/>
  <c r="P16" i="25"/>
  <c r="N16" i="25"/>
  <c r="G16" i="25"/>
  <c r="Q16" i="25"/>
  <c r="C16" i="25"/>
  <c r="S15" i="25"/>
  <c r="R15" i="25"/>
  <c r="P15" i="25"/>
  <c r="N15" i="25"/>
  <c r="G15" i="25"/>
  <c r="Q15" i="25"/>
  <c r="C15" i="25"/>
  <c r="O15" i="25"/>
  <c r="S14" i="25"/>
  <c r="R14" i="25"/>
  <c r="P14" i="25"/>
  <c r="O14" i="25"/>
  <c r="N14" i="25"/>
  <c r="G14" i="25"/>
  <c r="C14" i="25"/>
  <c r="S13" i="25"/>
  <c r="R13" i="25"/>
  <c r="P13" i="25"/>
  <c r="N13" i="25"/>
  <c r="G13" i="25"/>
  <c r="Q13" i="25"/>
  <c r="C13" i="25"/>
  <c r="O13" i="25"/>
  <c r="S12" i="25"/>
  <c r="R12" i="25"/>
  <c r="P12" i="25"/>
  <c r="N12" i="25"/>
  <c r="G12" i="25"/>
  <c r="Q12" i="25"/>
  <c r="C12" i="25"/>
  <c r="S11" i="25"/>
  <c r="R11" i="25"/>
  <c r="P11" i="25"/>
  <c r="N11" i="25"/>
  <c r="G11" i="25"/>
  <c r="C11" i="25"/>
  <c r="S10" i="25"/>
  <c r="R10" i="25"/>
  <c r="P10" i="25"/>
  <c r="N10" i="25"/>
  <c r="G10" i="25"/>
  <c r="C10" i="25"/>
  <c r="O10" i="25"/>
  <c r="S9" i="25"/>
  <c r="R9" i="25"/>
  <c r="P9" i="25"/>
  <c r="O9" i="25"/>
  <c r="N9" i="25"/>
  <c r="G9" i="25"/>
  <c r="C9" i="25"/>
  <c r="S8" i="25"/>
  <c r="R8" i="25"/>
  <c r="P8" i="25"/>
  <c r="N8" i="25"/>
  <c r="G8" i="25"/>
  <c r="Q8" i="25"/>
  <c r="C8" i="25"/>
  <c r="S7" i="25"/>
  <c r="R7" i="25"/>
  <c r="P7" i="25"/>
  <c r="O7" i="25"/>
  <c r="N7" i="25"/>
  <c r="G7" i="25"/>
  <c r="C7" i="25"/>
  <c r="S6" i="25"/>
  <c r="R6" i="25"/>
  <c r="P6" i="25"/>
  <c r="N6" i="25"/>
  <c r="G6" i="25"/>
  <c r="E6" i="25"/>
  <c r="D6" i="25"/>
  <c r="C6" i="25"/>
  <c r="O6" i="25"/>
  <c r="S5" i="25"/>
  <c r="R5" i="25"/>
  <c r="P5" i="25"/>
  <c r="N5" i="25"/>
  <c r="G5" i="25"/>
  <c r="C5" i="25"/>
  <c r="A5" i="25"/>
  <c r="D7" i="13"/>
  <c r="E7" i="13"/>
  <c r="D8" i="13"/>
  <c r="E8" i="13"/>
  <c r="D9" i="13"/>
  <c r="E9" i="13"/>
  <c r="D10" i="13"/>
  <c r="E10" i="13"/>
  <c r="D11" i="13"/>
  <c r="E11" i="13"/>
  <c r="D12" i="13"/>
  <c r="E12" i="13"/>
  <c r="D13" i="13"/>
  <c r="E13" i="13"/>
  <c r="D14" i="13"/>
  <c r="E14" i="13"/>
  <c r="D15" i="13"/>
  <c r="E15" i="13"/>
  <c r="D16" i="13"/>
  <c r="E16" i="13"/>
  <c r="D17" i="13"/>
  <c r="E17" i="13"/>
  <c r="D18" i="13"/>
  <c r="E18" i="13"/>
  <c r="D19" i="13"/>
  <c r="E19" i="13"/>
  <c r="D20" i="13"/>
  <c r="E20" i="13"/>
  <c r="D21" i="13"/>
  <c r="E21" i="13"/>
  <c r="D22" i="13"/>
  <c r="E22" i="13"/>
  <c r="D23" i="13"/>
  <c r="E23" i="13"/>
  <c r="D24" i="13"/>
  <c r="E24" i="13"/>
  <c r="D25" i="13"/>
  <c r="E25" i="13"/>
  <c r="D26" i="13"/>
  <c r="E26" i="13"/>
  <c r="D27" i="13"/>
  <c r="E27" i="13"/>
  <c r="D28" i="13"/>
  <c r="E28" i="13"/>
  <c r="D29" i="13"/>
  <c r="E29" i="13"/>
  <c r="D30" i="13"/>
  <c r="E30" i="13"/>
  <c r="D31" i="13"/>
  <c r="E31" i="13"/>
  <c r="D32" i="13"/>
  <c r="E32" i="13"/>
  <c r="D33" i="13"/>
  <c r="E33" i="13"/>
  <c r="D34" i="13"/>
  <c r="E34" i="13"/>
  <c r="D35" i="13"/>
  <c r="E35" i="13"/>
  <c r="D36" i="13"/>
  <c r="E36" i="13"/>
  <c r="D37" i="13"/>
  <c r="E37" i="13"/>
  <c r="D38" i="13"/>
  <c r="E38" i="13"/>
  <c r="D39" i="13"/>
  <c r="E39" i="13"/>
  <c r="D40" i="13"/>
  <c r="E40" i="13"/>
  <c r="D41" i="13"/>
  <c r="E41" i="13"/>
  <c r="D42" i="13"/>
  <c r="E42" i="13"/>
  <c r="D43" i="13"/>
  <c r="E43" i="13"/>
  <c r="D44" i="13"/>
  <c r="E44" i="13"/>
  <c r="D45" i="13"/>
  <c r="E45" i="13"/>
  <c r="D46" i="13"/>
  <c r="E46" i="13"/>
  <c r="D47" i="13"/>
  <c r="E47" i="13"/>
  <c r="D48" i="13"/>
  <c r="E48" i="13"/>
  <c r="D49" i="13"/>
  <c r="E49" i="13"/>
  <c r="D50" i="13"/>
  <c r="E50" i="13"/>
  <c r="D51" i="13"/>
  <c r="E51" i="13"/>
  <c r="D52" i="13"/>
  <c r="E52" i="13"/>
  <c r="D53" i="13"/>
  <c r="E53" i="13"/>
  <c r="D54" i="13"/>
  <c r="E54" i="13"/>
  <c r="D55" i="13"/>
  <c r="E55" i="13"/>
  <c r="D56" i="13"/>
  <c r="E56" i="13"/>
  <c r="D57" i="13"/>
  <c r="E57" i="13"/>
  <c r="D58" i="13"/>
  <c r="E58" i="13"/>
  <c r="D59" i="13"/>
  <c r="E59" i="13"/>
  <c r="D60" i="13"/>
  <c r="E60" i="13"/>
  <c r="D61" i="13"/>
  <c r="E61" i="13"/>
  <c r="D62" i="13"/>
  <c r="E62" i="13"/>
  <c r="D63" i="13"/>
  <c r="E63" i="13"/>
  <c r="D64" i="13"/>
  <c r="E64" i="13"/>
  <c r="D65" i="13"/>
  <c r="E65" i="13"/>
  <c r="D66" i="13"/>
  <c r="E66" i="13"/>
  <c r="D67" i="13"/>
  <c r="E67" i="13"/>
  <c r="D68" i="13"/>
  <c r="E68" i="13"/>
  <c r="D69" i="13"/>
  <c r="E69" i="13"/>
  <c r="D70" i="13"/>
  <c r="E70" i="13"/>
  <c r="D71" i="13"/>
  <c r="E71" i="13"/>
  <c r="D72" i="13"/>
  <c r="E72" i="13"/>
  <c r="D73" i="13"/>
  <c r="E73" i="13"/>
  <c r="D74" i="13"/>
  <c r="E74" i="13"/>
  <c r="D75" i="13"/>
  <c r="E75" i="13"/>
  <c r="D76" i="13"/>
  <c r="E76" i="13"/>
  <c r="D77" i="13"/>
  <c r="E77" i="13"/>
  <c r="D78" i="13"/>
  <c r="E78" i="13"/>
  <c r="D79" i="13"/>
  <c r="E79" i="13"/>
  <c r="D80" i="13"/>
  <c r="E80" i="13"/>
  <c r="D81" i="13"/>
  <c r="E81" i="13"/>
  <c r="D82" i="13"/>
  <c r="E82" i="13"/>
  <c r="D83" i="13"/>
  <c r="E83" i="13"/>
  <c r="D84" i="13"/>
  <c r="E84" i="13"/>
  <c r="D85" i="13"/>
  <c r="E85" i="13"/>
  <c r="D86" i="13"/>
  <c r="E86" i="13"/>
  <c r="D87" i="13"/>
  <c r="E87" i="13"/>
  <c r="D88" i="13"/>
  <c r="E88" i="13"/>
  <c r="D89" i="13"/>
  <c r="E89" i="13"/>
  <c r="D90" i="13"/>
  <c r="E90" i="13"/>
  <c r="D91" i="13"/>
  <c r="E91" i="13"/>
  <c r="D92" i="13"/>
  <c r="E92" i="13"/>
  <c r="D93" i="13"/>
  <c r="E93" i="13"/>
  <c r="D94" i="13"/>
  <c r="E94" i="13"/>
  <c r="D95" i="13"/>
  <c r="E95" i="13"/>
  <c r="D96" i="13"/>
  <c r="E96" i="13"/>
  <c r="D97" i="13"/>
  <c r="E97" i="13"/>
  <c r="D98" i="13"/>
  <c r="E98" i="13"/>
  <c r="D99" i="13"/>
  <c r="E99" i="13"/>
  <c r="D100" i="13"/>
  <c r="E100" i="13"/>
  <c r="D101" i="13"/>
  <c r="E101" i="13"/>
  <c r="D102" i="13"/>
  <c r="E102" i="13"/>
  <c r="D103" i="13"/>
  <c r="E103" i="13"/>
  <c r="D104" i="13"/>
  <c r="E104" i="13"/>
  <c r="Q58" i="25"/>
  <c r="O47" i="25"/>
  <c r="O36" i="25"/>
  <c r="O52" i="25"/>
  <c r="Q61" i="25"/>
  <c r="Q77" i="25"/>
  <c r="O11" i="25"/>
  <c r="O16" i="25"/>
  <c r="Q18" i="25"/>
  <c r="O32" i="25"/>
  <c r="O37" i="25"/>
  <c r="O41" i="25"/>
  <c r="O45" i="25"/>
  <c r="O49" i="25"/>
  <c r="Q54" i="25"/>
  <c r="Q57" i="25"/>
  <c r="O60" i="25"/>
  <c r="Q70" i="25"/>
  <c r="Q73" i="25"/>
  <c r="O76" i="25"/>
  <c r="Q30" i="25"/>
  <c r="O5" i="25"/>
  <c r="Q14" i="25"/>
  <c r="Q29" i="25"/>
  <c r="Q34" i="25"/>
  <c r="Q38" i="25"/>
  <c r="Q42" i="25"/>
  <c r="O51" i="25"/>
  <c r="Q53" i="25"/>
  <c r="O67" i="25"/>
  <c r="Q69" i="25"/>
  <c r="Q33" i="25"/>
  <c r="Q37" i="25"/>
  <c r="O40" i="25"/>
  <c r="Q41" i="25"/>
  <c r="O44" i="25"/>
  <c r="Q45" i="25"/>
  <c r="Q49" i="25"/>
  <c r="Q65" i="25"/>
  <c r="Q81" i="25"/>
  <c r="Q7" i="25"/>
  <c r="Q11" i="25"/>
  <c r="O30" i="25"/>
  <c r="Q36" i="25"/>
  <c r="O42" i="25"/>
  <c r="Q52" i="25"/>
  <c r="O54" i="25"/>
  <c r="Q60" i="25"/>
  <c r="O62" i="25"/>
  <c r="Q68" i="25"/>
  <c r="O70" i="25"/>
  <c r="Q76" i="25"/>
  <c r="O78" i="25"/>
  <c r="A6" i="25"/>
  <c r="Q6" i="25"/>
  <c r="O8" i="25"/>
  <c r="Q10" i="25"/>
  <c r="O12" i="25"/>
  <c r="O38" i="25"/>
  <c r="Q48" i="25"/>
  <c r="Q5" i="25"/>
  <c r="Q9" i="25"/>
  <c r="O31" i="25"/>
  <c r="Q32" i="25"/>
  <c r="O34" i="25"/>
  <c r="O43" i="25"/>
  <c r="Q44" i="25"/>
  <c r="O50" i="25"/>
  <c r="O55" i="25"/>
  <c r="Q56" i="25"/>
  <c r="O58" i="25"/>
  <c r="O63" i="25"/>
  <c r="Q64" i="25"/>
  <c r="O66" i="25"/>
  <c r="O71" i="25"/>
  <c r="Q72" i="25"/>
  <c r="O74" i="25"/>
  <c r="O79" i="25"/>
  <c r="Q80" i="25"/>
  <c r="C95" i="25"/>
  <c r="C94" i="25"/>
  <c r="O39" i="25"/>
  <c r="Q40" i="25"/>
  <c r="O46" i="25"/>
  <c r="R6" i="13"/>
  <c r="S6" i="13"/>
  <c r="R7" i="13"/>
  <c r="S7" i="13"/>
  <c r="R8" i="13"/>
  <c r="S8" i="13"/>
  <c r="R9" i="13"/>
  <c r="S9" i="13"/>
  <c r="R10" i="13"/>
  <c r="S10" i="13"/>
  <c r="R11" i="13"/>
  <c r="S11" i="13"/>
  <c r="R12" i="13"/>
  <c r="S12" i="13"/>
  <c r="R13" i="13"/>
  <c r="S13" i="13"/>
  <c r="R14" i="13"/>
  <c r="S14" i="13"/>
  <c r="R15" i="13"/>
  <c r="S15" i="13"/>
  <c r="R16" i="13"/>
  <c r="S16" i="13"/>
  <c r="R17" i="13"/>
  <c r="S17" i="13"/>
  <c r="R18" i="13"/>
  <c r="S18" i="13"/>
  <c r="R19" i="13"/>
  <c r="S19" i="13"/>
  <c r="R20" i="13"/>
  <c r="S20" i="13"/>
  <c r="R21" i="13"/>
  <c r="S21" i="13"/>
  <c r="R22" i="13"/>
  <c r="S22" i="13"/>
  <c r="R23" i="13"/>
  <c r="S23" i="13"/>
  <c r="R24" i="13"/>
  <c r="S24" i="13"/>
  <c r="R25" i="13"/>
  <c r="S25" i="13"/>
  <c r="R26" i="13"/>
  <c r="S26" i="13"/>
  <c r="R27" i="13"/>
  <c r="S27" i="13"/>
  <c r="R28" i="13"/>
  <c r="S28" i="13"/>
  <c r="R29" i="13"/>
  <c r="S29" i="13"/>
  <c r="R30" i="13"/>
  <c r="S30" i="13"/>
  <c r="R31" i="13"/>
  <c r="S31" i="13"/>
  <c r="R32" i="13"/>
  <c r="S32" i="13"/>
  <c r="R33" i="13"/>
  <c r="S33" i="13"/>
  <c r="R34" i="13"/>
  <c r="S34" i="13"/>
  <c r="R35" i="13"/>
  <c r="S35" i="13"/>
  <c r="R36" i="13"/>
  <c r="S36" i="13"/>
  <c r="R37" i="13"/>
  <c r="S37" i="13"/>
  <c r="R38" i="13"/>
  <c r="S38" i="13"/>
  <c r="R39" i="13"/>
  <c r="S39" i="13"/>
  <c r="R40" i="13"/>
  <c r="S40" i="13"/>
  <c r="R41" i="13"/>
  <c r="S41" i="13"/>
  <c r="R42" i="13"/>
  <c r="S42" i="13"/>
  <c r="R43" i="13"/>
  <c r="S43" i="13"/>
  <c r="R44" i="13"/>
  <c r="S44" i="13"/>
  <c r="R45" i="13"/>
  <c r="S45" i="13"/>
  <c r="R46" i="13"/>
  <c r="S46" i="13"/>
  <c r="R47" i="13"/>
  <c r="S47" i="13"/>
  <c r="R48" i="13"/>
  <c r="S48" i="13"/>
  <c r="R49" i="13"/>
  <c r="S49" i="13"/>
  <c r="R50" i="13"/>
  <c r="S50" i="13"/>
  <c r="R51" i="13"/>
  <c r="S51" i="13"/>
  <c r="R52" i="13"/>
  <c r="S52" i="13"/>
  <c r="R53" i="13"/>
  <c r="S53" i="13"/>
  <c r="R54" i="13"/>
  <c r="S54" i="13"/>
  <c r="R55" i="13"/>
  <c r="S55" i="13"/>
  <c r="R56" i="13"/>
  <c r="S56" i="13"/>
  <c r="R57" i="13"/>
  <c r="S57" i="13"/>
  <c r="R58" i="13"/>
  <c r="S58" i="13"/>
  <c r="R59" i="13"/>
  <c r="S59" i="13"/>
  <c r="R60" i="13"/>
  <c r="S60" i="13"/>
  <c r="R61" i="13"/>
  <c r="S61" i="13"/>
  <c r="R62" i="13"/>
  <c r="S62" i="13"/>
  <c r="R63" i="13"/>
  <c r="S63" i="13"/>
  <c r="R64" i="13"/>
  <c r="S64" i="13"/>
  <c r="R65" i="13"/>
  <c r="S65" i="13"/>
  <c r="R66" i="13"/>
  <c r="S66" i="13"/>
  <c r="R67" i="13"/>
  <c r="S67" i="13"/>
  <c r="R68" i="13"/>
  <c r="S68" i="13"/>
  <c r="R69" i="13"/>
  <c r="S69" i="13"/>
  <c r="R70" i="13"/>
  <c r="S70" i="13"/>
  <c r="R71" i="13"/>
  <c r="S71" i="13"/>
  <c r="R72" i="13"/>
  <c r="S72" i="13"/>
  <c r="R73" i="13"/>
  <c r="S73" i="13"/>
  <c r="R74" i="13"/>
  <c r="S74" i="13"/>
  <c r="R75" i="13"/>
  <c r="S75" i="13"/>
  <c r="R76" i="13"/>
  <c r="S76" i="13"/>
  <c r="R77" i="13"/>
  <c r="S77" i="13"/>
  <c r="R78" i="13"/>
  <c r="S78" i="13"/>
  <c r="R79" i="13"/>
  <c r="S79" i="13"/>
  <c r="R80" i="13"/>
  <c r="S80" i="13"/>
  <c r="R81" i="13"/>
  <c r="S81" i="13"/>
  <c r="R82" i="13"/>
  <c r="S82" i="13"/>
  <c r="R83" i="13"/>
  <c r="S83" i="13"/>
  <c r="R84" i="13"/>
  <c r="S84" i="13"/>
  <c r="R85" i="13"/>
  <c r="S85" i="13"/>
  <c r="R86" i="13"/>
  <c r="S86" i="13"/>
  <c r="R87" i="13"/>
  <c r="S87" i="13"/>
  <c r="R88" i="13"/>
  <c r="S88" i="13"/>
  <c r="R89" i="13"/>
  <c r="S89" i="13"/>
  <c r="R90" i="13"/>
  <c r="S90" i="13"/>
  <c r="R91" i="13"/>
  <c r="S91" i="13"/>
  <c r="R92" i="13"/>
  <c r="S92" i="13"/>
  <c r="R93" i="13"/>
  <c r="S93" i="13"/>
  <c r="R94" i="13"/>
  <c r="S94" i="13"/>
  <c r="R95" i="13"/>
  <c r="S95" i="13"/>
  <c r="R96" i="13"/>
  <c r="S96" i="13"/>
  <c r="R97" i="13"/>
  <c r="S97" i="13"/>
  <c r="R98" i="13"/>
  <c r="S98" i="13"/>
  <c r="R99" i="13"/>
  <c r="S99" i="13"/>
  <c r="R100" i="13"/>
  <c r="S100" i="13"/>
  <c r="R101" i="13"/>
  <c r="S101" i="13"/>
  <c r="R102" i="13"/>
  <c r="S102" i="13"/>
  <c r="R103" i="13"/>
  <c r="S103" i="13"/>
  <c r="R104" i="13"/>
  <c r="S104" i="13"/>
  <c r="S5" i="13"/>
  <c r="R5" i="13"/>
  <c r="I1" i="25"/>
  <c r="H91" i="25"/>
  <c r="I91" i="25"/>
  <c r="H1" i="25"/>
  <c r="A7" i="25"/>
  <c r="I3" i="25"/>
  <c r="G95" i="13"/>
  <c r="H103" i="13"/>
  <c r="G96" i="13"/>
  <c r="H104" i="13"/>
  <c r="G94" i="13"/>
  <c r="H102" i="13"/>
  <c r="G86" i="13"/>
  <c r="G87" i="13"/>
  <c r="H95" i="13"/>
  <c r="G88" i="13"/>
  <c r="H96" i="13"/>
  <c r="G89" i="13"/>
  <c r="H97" i="13"/>
  <c r="G90" i="13"/>
  <c r="H98" i="13"/>
  <c r="G85" i="13"/>
  <c r="H93" i="13"/>
  <c r="C95" i="13"/>
  <c r="I104" i="13"/>
  <c r="C96" i="13"/>
  <c r="O96" i="13"/>
  <c r="C94" i="13"/>
  <c r="I103" i="13"/>
  <c r="C86" i="13"/>
  <c r="C87" i="13"/>
  <c r="I96" i="13"/>
  <c r="C88" i="13"/>
  <c r="I97" i="13"/>
  <c r="C89" i="13"/>
  <c r="I98" i="13"/>
  <c r="C90" i="13"/>
  <c r="I99" i="13"/>
  <c r="C85" i="13"/>
  <c r="I94" i="13"/>
  <c r="C25" i="13"/>
  <c r="I34" i="13"/>
  <c r="G25" i="13"/>
  <c r="H33" i="13"/>
  <c r="N25" i="13"/>
  <c r="P25" i="13"/>
  <c r="C26" i="13"/>
  <c r="G26" i="13"/>
  <c r="H34" i="13"/>
  <c r="N26" i="13"/>
  <c r="P26" i="13"/>
  <c r="C27" i="13"/>
  <c r="I36" i="13"/>
  <c r="G27" i="13"/>
  <c r="H35" i="13"/>
  <c r="N27" i="13"/>
  <c r="P27" i="13"/>
  <c r="C28" i="13"/>
  <c r="I37" i="13"/>
  <c r="G28" i="13"/>
  <c r="H36" i="13"/>
  <c r="N28" i="13"/>
  <c r="P28" i="13"/>
  <c r="C29" i="13"/>
  <c r="G29" i="13"/>
  <c r="H37" i="13"/>
  <c r="N29" i="13"/>
  <c r="P29" i="13"/>
  <c r="C30" i="13"/>
  <c r="I39" i="13"/>
  <c r="G30" i="13"/>
  <c r="H38" i="13"/>
  <c r="N30" i="13"/>
  <c r="P30" i="13"/>
  <c r="C31" i="13"/>
  <c r="I40" i="13"/>
  <c r="G31" i="13"/>
  <c r="N31" i="13"/>
  <c r="P31" i="13"/>
  <c r="C32" i="13"/>
  <c r="I41" i="13"/>
  <c r="G32" i="13"/>
  <c r="N32" i="13"/>
  <c r="P32" i="13"/>
  <c r="C33" i="13"/>
  <c r="I42" i="13"/>
  <c r="G33" i="13"/>
  <c r="H41" i="13"/>
  <c r="N33" i="13"/>
  <c r="P33" i="13"/>
  <c r="C34" i="13"/>
  <c r="I43" i="13"/>
  <c r="G34" i="13"/>
  <c r="H42" i="13"/>
  <c r="N34" i="13"/>
  <c r="P34" i="13"/>
  <c r="C35" i="13"/>
  <c r="I44" i="13"/>
  <c r="G35" i="13"/>
  <c r="H43" i="13"/>
  <c r="N35" i="13"/>
  <c r="P35" i="13"/>
  <c r="C36" i="13"/>
  <c r="I45" i="13"/>
  <c r="G36" i="13"/>
  <c r="H44" i="13"/>
  <c r="N36" i="13"/>
  <c r="P36" i="13"/>
  <c r="C37" i="13"/>
  <c r="I46" i="13"/>
  <c r="G37" i="13"/>
  <c r="N37" i="13"/>
  <c r="P37" i="13"/>
  <c r="C38" i="13"/>
  <c r="I47" i="13"/>
  <c r="G38" i="13"/>
  <c r="H46" i="13"/>
  <c r="N38" i="13"/>
  <c r="P38" i="13"/>
  <c r="C39" i="13"/>
  <c r="I48" i="13"/>
  <c r="G39" i="13"/>
  <c r="H47" i="13"/>
  <c r="N39" i="13"/>
  <c r="P39" i="13"/>
  <c r="C40" i="13"/>
  <c r="I49" i="13"/>
  <c r="G40" i="13"/>
  <c r="H48" i="13"/>
  <c r="N40" i="13"/>
  <c r="P40" i="13"/>
  <c r="C41" i="13"/>
  <c r="I50" i="13"/>
  <c r="G41" i="13"/>
  <c r="H49" i="13"/>
  <c r="N41" i="13"/>
  <c r="P41" i="13"/>
  <c r="C42" i="13"/>
  <c r="I51" i="13"/>
  <c r="G42" i="13"/>
  <c r="H50" i="13"/>
  <c r="N42" i="13"/>
  <c r="P42" i="13"/>
  <c r="C43" i="13"/>
  <c r="I52" i="13"/>
  <c r="G43" i="13"/>
  <c r="N43" i="13"/>
  <c r="P43" i="13"/>
  <c r="C44" i="13"/>
  <c r="I53" i="13"/>
  <c r="G44" i="13"/>
  <c r="N44" i="13"/>
  <c r="P44" i="13"/>
  <c r="C45" i="13"/>
  <c r="I54" i="13"/>
  <c r="G45" i="13"/>
  <c r="H53" i="13"/>
  <c r="N45" i="13"/>
  <c r="P45" i="13"/>
  <c r="C46" i="13"/>
  <c r="I55" i="13"/>
  <c r="G46" i="13"/>
  <c r="H54" i="13"/>
  <c r="N46" i="13"/>
  <c r="P46" i="13"/>
  <c r="C47" i="13"/>
  <c r="I56" i="13"/>
  <c r="G47" i="13"/>
  <c r="H55" i="13"/>
  <c r="N47" i="13"/>
  <c r="P47" i="13"/>
  <c r="C48" i="13"/>
  <c r="I57" i="13"/>
  <c r="G48" i="13"/>
  <c r="H56" i="13"/>
  <c r="N48" i="13"/>
  <c r="P48" i="13"/>
  <c r="C49" i="13"/>
  <c r="I58" i="13"/>
  <c r="G49" i="13"/>
  <c r="N49" i="13"/>
  <c r="P49" i="13"/>
  <c r="C50" i="13"/>
  <c r="I59" i="13"/>
  <c r="G50" i="13"/>
  <c r="N50" i="13"/>
  <c r="P50" i="13"/>
  <c r="C51" i="13"/>
  <c r="I60" i="13"/>
  <c r="G51" i="13"/>
  <c r="H59" i="13"/>
  <c r="N51" i="13"/>
  <c r="P51" i="13"/>
  <c r="C52" i="13"/>
  <c r="I61" i="13"/>
  <c r="G52" i="13"/>
  <c r="H60" i="13"/>
  <c r="N52" i="13"/>
  <c r="P52" i="13"/>
  <c r="C53" i="13"/>
  <c r="I62" i="13"/>
  <c r="G53" i="13"/>
  <c r="H61" i="13"/>
  <c r="N53" i="13"/>
  <c r="P53" i="13"/>
  <c r="C54" i="13"/>
  <c r="I63" i="13"/>
  <c r="G54" i="13"/>
  <c r="H62" i="13"/>
  <c r="N54" i="13"/>
  <c r="P54" i="13"/>
  <c r="C55" i="13"/>
  <c r="I64" i="13"/>
  <c r="G55" i="13"/>
  <c r="N55" i="13"/>
  <c r="P55" i="13"/>
  <c r="C56" i="13"/>
  <c r="I65" i="13"/>
  <c r="G56" i="13"/>
  <c r="N56" i="13"/>
  <c r="P56" i="13"/>
  <c r="C57" i="13"/>
  <c r="I66" i="13"/>
  <c r="G57" i="13"/>
  <c r="H65" i="13"/>
  <c r="N57" i="13"/>
  <c r="P57" i="13"/>
  <c r="C58" i="13"/>
  <c r="I67" i="13"/>
  <c r="G58" i="13"/>
  <c r="H66" i="13"/>
  <c r="N58" i="13"/>
  <c r="P58" i="13"/>
  <c r="C59" i="13"/>
  <c r="I68" i="13"/>
  <c r="G59" i="13"/>
  <c r="H67" i="13"/>
  <c r="N59" i="13"/>
  <c r="P59" i="13"/>
  <c r="C60" i="13"/>
  <c r="I69" i="13"/>
  <c r="G60" i="13"/>
  <c r="N60" i="13"/>
  <c r="P60" i="13"/>
  <c r="C61" i="13"/>
  <c r="I70" i="13"/>
  <c r="G61" i="13"/>
  <c r="H69" i="13"/>
  <c r="N61" i="13"/>
  <c r="P61" i="13"/>
  <c r="C62" i="13"/>
  <c r="I71" i="13"/>
  <c r="G62" i="13"/>
  <c r="H70" i="13"/>
  <c r="Q62" i="13"/>
  <c r="N62" i="13"/>
  <c r="P62" i="13"/>
  <c r="C63" i="13"/>
  <c r="I72" i="13"/>
  <c r="G63" i="13"/>
  <c r="H71" i="13"/>
  <c r="N63" i="13"/>
  <c r="P63" i="13"/>
  <c r="C64" i="13"/>
  <c r="I73" i="13"/>
  <c r="G64" i="13"/>
  <c r="H72" i="13"/>
  <c r="N64" i="13"/>
  <c r="P64" i="13"/>
  <c r="C65" i="13"/>
  <c r="I74" i="13"/>
  <c r="G65" i="13"/>
  <c r="H73" i="13"/>
  <c r="N65" i="13"/>
  <c r="P65" i="13"/>
  <c r="C66" i="13"/>
  <c r="I75" i="13"/>
  <c r="G66" i="13"/>
  <c r="N66" i="13"/>
  <c r="P66" i="13"/>
  <c r="C67" i="13"/>
  <c r="I76" i="13"/>
  <c r="G67" i="13"/>
  <c r="H75" i="13"/>
  <c r="N67" i="13"/>
  <c r="P67" i="13"/>
  <c r="C68" i="13"/>
  <c r="G68" i="13"/>
  <c r="H76" i="13"/>
  <c r="N68" i="13"/>
  <c r="P68" i="13"/>
  <c r="C69" i="13"/>
  <c r="I78" i="13"/>
  <c r="G69" i="13"/>
  <c r="H77" i="13"/>
  <c r="N69" i="13"/>
  <c r="P69" i="13"/>
  <c r="C70" i="13"/>
  <c r="I79" i="13"/>
  <c r="G70" i="13"/>
  <c r="H78" i="13"/>
  <c r="N70" i="13"/>
  <c r="O70" i="13"/>
  <c r="P70" i="13"/>
  <c r="C71" i="13"/>
  <c r="I80" i="13"/>
  <c r="G71" i="13"/>
  <c r="H79" i="13"/>
  <c r="N71" i="13"/>
  <c r="P71" i="13"/>
  <c r="C72" i="13"/>
  <c r="I81" i="13"/>
  <c r="G72" i="13"/>
  <c r="H80" i="13"/>
  <c r="N72" i="13"/>
  <c r="P72" i="13"/>
  <c r="C73" i="13"/>
  <c r="I82" i="13"/>
  <c r="G73" i="13"/>
  <c r="N73" i="13"/>
  <c r="P73" i="13"/>
  <c r="C74" i="13"/>
  <c r="I83" i="13"/>
  <c r="G74" i="13"/>
  <c r="H82" i="13"/>
  <c r="N74" i="13"/>
  <c r="P74" i="13"/>
  <c r="C75" i="13"/>
  <c r="G75" i="13"/>
  <c r="H83" i="13"/>
  <c r="N75" i="13"/>
  <c r="P75" i="13"/>
  <c r="C76" i="13"/>
  <c r="I85" i="13"/>
  <c r="G76" i="13"/>
  <c r="H84" i="13"/>
  <c r="N76" i="13"/>
  <c r="P76" i="13"/>
  <c r="C77" i="13"/>
  <c r="I86" i="13"/>
  <c r="G77" i="13"/>
  <c r="H85" i="13"/>
  <c r="N77" i="13"/>
  <c r="P77" i="13"/>
  <c r="C78" i="13"/>
  <c r="I87" i="13"/>
  <c r="G78" i="13"/>
  <c r="H86" i="13"/>
  <c r="N78" i="13"/>
  <c r="P78" i="13"/>
  <c r="C79" i="13"/>
  <c r="I88" i="13"/>
  <c r="G79" i="13"/>
  <c r="N79" i="13"/>
  <c r="P79" i="13"/>
  <c r="C80" i="13"/>
  <c r="I89" i="13"/>
  <c r="G80" i="13"/>
  <c r="H88" i="13"/>
  <c r="Q80" i="13"/>
  <c r="N80" i="13"/>
  <c r="P80" i="13"/>
  <c r="C81" i="13"/>
  <c r="G81" i="13"/>
  <c r="H89" i="13"/>
  <c r="N81" i="13"/>
  <c r="P81" i="13"/>
  <c r="C82" i="13"/>
  <c r="I91" i="13"/>
  <c r="G82" i="13"/>
  <c r="N82" i="13"/>
  <c r="P82" i="13"/>
  <c r="C83" i="13"/>
  <c r="I92" i="13"/>
  <c r="G83" i="13"/>
  <c r="H91" i="13"/>
  <c r="N83" i="13"/>
  <c r="P83" i="13"/>
  <c r="C84" i="13"/>
  <c r="I93" i="13"/>
  <c r="G84" i="13"/>
  <c r="H92" i="13"/>
  <c r="N84" i="13"/>
  <c r="P84" i="13"/>
  <c r="Q85" i="13"/>
  <c r="N85" i="13"/>
  <c r="P85" i="13"/>
  <c r="N86" i="13"/>
  <c r="P86" i="13"/>
  <c r="Q87" i="13"/>
  <c r="N87" i="13"/>
  <c r="P87" i="13"/>
  <c r="N88" i="13"/>
  <c r="P88" i="13"/>
  <c r="N89" i="13"/>
  <c r="P89" i="13"/>
  <c r="N90" i="13"/>
  <c r="P90" i="13"/>
  <c r="C91" i="13"/>
  <c r="I100" i="13"/>
  <c r="G91" i="13"/>
  <c r="H99" i="13"/>
  <c r="N91" i="13"/>
  <c r="P91" i="13"/>
  <c r="C92" i="13"/>
  <c r="G92" i="13"/>
  <c r="H100" i="13"/>
  <c r="N92" i="13"/>
  <c r="P92" i="13"/>
  <c r="C93" i="13"/>
  <c r="I102" i="13"/>
  <c r="G93" i="13"/>
  <c r="H101" i="13"/>
  <c r="N93" i="13"/>
  <c r="P93" i="13"/>
  <c r="O71" i="13"/>
  <c r="O35" i="13"/>
  <c r="O33" i="13"/>
  <c r="O36" i="13"/>
  <c r="O34" i="13"/>
  <c r="O28" i="13"/>
  <c r="O32" i="13"/>
  <c r="O31" i="13"/>
  <c r="O30" i="13"/>
  <c r="O63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27" i="13"/>
  <c r="Q30" i="13"/>
  <c r="Q25" i="13"/>
  <c r="O90" i="13"/>
  <c r="O89" i="13"/>
  <c r="O84" i="13"/>
  <c r="O83" i="13"/>
  <c r="O78" i="13"/>
  <c r="Q57" i="13"/>
  <c r="Q52" i="13"/>
  <c r="Q40" i="13"/>
  <c r="Q39" i="13"/>
  <c r="O65" i="13"/>
  <c r="O72" i="13"/>
  <c r="O64" i="13"/>
  <c r="Q34" i="13"/>
  <c r="G12" i="13"/>
  <c r="H20" i="13"/>
  <c r="G13" i="13"/>
  <c r="H21" i="13"/>
  <c r="G14" i="13"/>
  <c r="H22" i="13"/>
  <c r="G15" i="13"/>
  <c r="H23" i="13"/>
  <c r="G16" i="13"/>
  <c r="H24" i="13"/>
  <c r="G17" i="13"/>
  <c r="H25" i="13"/>
  <c r="G18" i="13"/>
  <c r="H26" i="13"/>
  <c r="G19" i="13"/>
  <c r="H27" i="13"/>
  <c r="G20" i="13"/>
  <c r="H28" i="13"/>
  <c r="G21" i="13"/>
  <c r="H29" i="13"/>
  <c r="G22" i="13"/>
  <c r="H30" i="13"/>
  <c r="G23" i="13"/>
  <c r="H31" i="13"/>
  <c r="G24" i="13"/>
  <c r="H32" i="13"/>
  <c r="G97" i="13"/>
  <c r="Q97" i="13"/>
  <c r="G98" i="13"/>
  <c r="G99" i="13"/>
  <c r="Q99" i="13"/>
  <c r="G100" i="13"/>
  <c r="Q100" i="13"/>
  <c r="G101" i="13"/>
  <c r="Q101" i="13"/>
  <c r="G102" i="13"/>
  <c r="Q102" i="13"/>
  <c r="G103" i="13"/>
  <c r="Q103" i="13"/>
  <c r="G104" i="13"/>
  <c r="Q104" i="13"/>
  <c r="G11" i="13"/>
  <c r="H19" i="13"/>
  <c r="C24" i="13"/>
  <c r="I33" i="13"/>
  <c r="C97" i="13"/>
  <c r="O97" i="13"/>
  <c r="C98" i="13"/>
  <c r="O98" i="13"/>
  <c r="C99" i="13"/>
  <c r="O99" i="13"/>
  <c r="C100" i="13"/>
  <c r="C101" i="13"/>
  <c r="C102" i="13"/>
  <c r="O102" i="13"/>
  <c r="C103" i="13"/>
  <c r="O103" i="13"/>
  <c r="C104" i="13"/>
  <c r="C20" i="13"/>
  <c r="C21" i="13"/>
  <c r="I30" i="13"/>
  <c r="C22" i="13"/>
  <c r="I31" i="13"/>
  <c r="C23" i="13"/>
  <c r="I32" i="13"/>
  <c r="C12" i="13"/>
  <c r="I21" i="13"/>
  <c r="C13" i="13"/>
  <c r="C14" i="13"/>
  <c r="C15" i="13"/>
  <c r="I24" i="13"/>
  <c r="C16" i="13"/>
  <c r="I25" i="13"/>
  <c r="C17" i="13"/>
  <c r="I26" i="13"/>
  <c r="C18" i="13"/>
  <c r="I27" i="13"/>
  <c r="C19" i="13"/>
  <c r="C11" i="13"/>
  <c r="I20" i="13"/>
  <c r="G10" i="13"/>
  <c r="H18" i="13"/>
  <c r="C10" i="13"/>
  <c r="I19" i="13"/>
  <c r="N94" i="13"/>
  <c r="P94" i="13"/>
  <c r="Q94" i="13"/>
  <c r="O94" i="13"/>
  <c r="G6" i="13"/>
  <c r="H14" i="13"/>
  <c r="G7" i="13"/>
  <c r="H15" i="13"/>
  <c r="G8" i="13"/>
  <c r="G9" i="13"/>
  <c r="H17" i="13"/>
  <c r="G5" i="13"/>
  <c r="H13" i="13"/>
  <c r="C6" i="13"/>
  <c r="I15" i="13"/>
  <c r="C7" i="13"/>
  <c r="I16" i="13"/>
  <c r="C8" i="13"/>
  <c r="I17" i="13"/>
  <c r="C9" i="13"/>
  <c r="C5" i="13"/>
  <c r="I14" i="13"/>
  <c r="A5" i="13"/>
  <c r="P104" i="13"/>
  <c r="N104" i="13"/>
  <c r="O104" i="13"/>
  <c r="P103" i="13"/>
  <c r="N103" i="13"/>
  <c r="P102" i="13"/>
  <c r="N102" i="13"/>
  <c r="P101" i="13"/>
  <c r="N101" i="13"/>
  <c r="P100" i="13"/>
  <c r="N100" i="13"/>
  <c r="O100" i="13"/>
  <c r="P99" i="13"/>
  <c r="N99" i="13"/>
  <c r="P98" i="13"/>
  <c r="N98" i="13"/>
  <c r="P97" i="13"/>
  <c r="N97" i="13"/>
  <c r="P96" i="13"/>
  <c r="N96" i="13"/>
  <c r="P95" i="13"/>
  <c r="N95" i="13"/>
  <c r="Q95" i="13"/>
  <c r="P24" i="13"/>
  <c r="N24" i="13"/>
  <c r="P23" i="13"/>
  <c r="N23" i="13"/>
  <c r="P22" i="13"/>
  <c r="N22" i="13"/>
  <c r="P21" i="13"/>
  <c r="N21" i="13"/>
  <c r="P20" i="13"/>
  <c r="N20" i="13"/>
  <c r="P19" i="13"/>
  <c r="N19" i="13"/>
  <c r="Q19" i="13"/>
  <c r="P18" i="13"/>
  <c r="N18" i="13"/>
  <c r="P17" i="13"/>
  <c r="N17" i="13"/>
  <c r="P16" i="13"/>
  <c r="N16" i="13"/>
  <c r="O16" i="13"/>
  <c r="P15" i="13"/>
  <c r="N15" i="13"/>
  <c r="P14" i="13"/>
  <c r="N14" i="13"/>
  <c r="P13" i="13"/>
  <c r="N13" i="13"/>
  <c r="Q13" i="13"/>
  <c r="P12" i="13"/>
  <c r="N12" i="13"/>
  <c r="P11" i="13"/>
  <c r="N11" i="13"/>
  <c r="P10" i="13"/>
  <c r="N10" i="13"/>
  <c r="O10" i="13"/>
  <c r="P9" i="13"/>
  <c r="N9" i="13"/>
  <c r="P8" i="13"/>
  <c r="N8" i="13"/>
  <c r="P7" i="13"/>
  <c r="N7" i="13"/>
  <c r="P6" i="13"/>
  <c r="N6" i="13"/>
  <c r="E6" i="13"/>
  <c r="D6" i="13"/>
  <c r="P5" i="13"/>
  <c r="N5" i="13"/>
  <c r="O7" i="13"/>
  <c r="Q5" i="13"/>
  <c r="Q6" i="13"/>
  <c r="Q12" i="13"/>
  <c r="Q14" i="13"/>
  <c r="O15" i="13"/>
  <c r="Q18" i="13"/>
  <c r="Q20" i="13"/>
  <c r="Q22" i="13"/>
  <c r="O95" i="13"/>
  <c r="Q98" i="13"/>
  <c r="O101" i="13"/>
  <c r="H7" i="12"/>
  <c r="I7" i="12"/>
  <c r="I9" i="12"/>
  <c r="H10" i="12"/>
  <c r="H11" i="12"/>
  <c r="I12" i="12"/>
  <c r="I13" i="12"/>
  <c r="H14" i="12"/>
  <c r="I15" i="12"/>
  <c r="H16" i="12"/>
  <c r="I18" i="12"/>
  <c r="H20" i="12"/>
  <c r="H22" i="12"/>
  <c r="I22" i="12"/>
  <c r="D22" i="12"/>
  <c r="E22" i="12"/>
  <c r="G5" i="12"/>
  <c r="G6" i="12"/>
  <c r="S6" i="12"/>
  <c r="G7" i="12"/>
  <c r="G8" i="12"/>
  <c r="Q8" i="12"/>
  <c r="G9" i="12"/>
  <c r="G10" i="12"/>
  <c r="H12" i="12"/>
  <c r="G11" i="12"/>
  <c r="Q11" i="12"/>
  <c r="G12" i="12"/>
  <c r="S12" i="12"/>
  <c r="G13" i="12"/>
  <c r="H15" i="12"/>
  <c r="G14" i="12"/>
  <c r="G15" i="12"/>
  <c r="S15" i="12"/>
  <c r="G16" i="12"/>
  <c r="G17" i="12"/>
  <c r="S17" i="12"/>
  <c r="G18" i="12"/>
  <c r="G19" i="12"/>
  <c r="H21" i="12"/>
  <c r="S19" i="12"/>
  <c r="G20" i="12"/>
  <c r="S20" i="12"/>
  <c r="G21" i="12"/>
  <c r="G22" i="12"/>
  <c r="Q22" i="12"/>
  <c r="C5" i="12"/>
  <c r="C6" i="12"/>
  <c r="I8" i="12"/>
  <c r="C7" i="12"/>
  <c r="C8" i="12"/>
  <c r="C9" i="12"/>
  <c r="C10" i="12"/>
  <c r="C11" i="12"/>
  <c r="C12" i="12"/>
  <c r="I14" i="12"/>
  <c r="C13" i="12"/>
  <c r="C14" i="12"/>
  <c r="I16" i="12"/>
  <c r="C15" i="12"/>
  <c r="I17" i="12"/>
  <c r="C16" i="12"/>
  <c r="R16" i="12"/>
  <c r="C17" i="12"/>
  <c r="I19" i="12"/>
  <c r="C18" i="12"/>
  <c r="I20" i="12"/>
  <c r="C19" i="12"/>
  <c r="I21" i="12"/>
  <c r="C20" i="12"/>
  <c r="R20" i="12"/>
  <c r="C21" i="12"/>
  <c r="R21" i="12"/>
  <c r="C22" i="12"/>
  <c r="R22" i="12"/>
  <c r="H7" i="11"/>
  <c r="H9" i="11"/>
  <c r="I10" i="11"/>
  <c r="H12" i="11"/>
  <c r="H13" i="11"/>
  <c r="I13" i="11"/>
  <c r="H15" i="11"/>
  <c r="I15" i="11"/>
  <c r="I16" i="11"/>
  <c r="H18" i="11"/>
  <c r="I18" i="11"/>
  <c r="C5" i="10"/>
  <c r="O5" i="10"/>
  <c r="C6" i="10"/>
  <c r="C7" i="10"/>
  <c r="R7" i="10"/>
  <c r="C8" i="10"/>
  <c r="C9" i="10"/>
  <c r="I11" i="10"/>
  <c r="C10" i="10"/>
  <c r="I12" i="10"/>
  <c r="C11" i="10"/>
  <c r="I13" i="10"/>
  <c r="C12" i="10"/>
  <c r="C13" i="10"/>
  <c r="C14" i="10"/>
  <c r="C15" i="10"/>
  <c r="C16" i="10"/>
  <c r="O16" i="10"/>
  <c r="C17" i="10"/>
  <c r="C18" i="10"/>
  <c r="C19" i="10"/>
  <c r="C20" i="10"/>
  <c r="C21" i="10"/>
  <c r="C22" i="10"/>
  <c r="O22" i="10"/>
  <c r="C23" i="10"/>
  <c r="I25" i="10"/>
  <c r="C24" i="10"/>
  <c r="C25" i="10"/>
  <c r="C26" i="10"/>
  <c r="C27" i="10"/>
  <c r="C28" i="10"/>
  <c r="I30" i="10"/>
  <c r="C29" i="10"/>
  <c r="R29" i="10"/>
  <c r="C30" i="10"/>
  <c r="C31" i="10"/>
  <c r="C32" i="10"/>
  <c r="G5" i="10"/>
  <c r="S5" i="10"/>
  <c r="G6" i="10"/>
  <c r="Q6" i="10"/>
  <c r="G7" i="10"/>
  <c r="S7" i="10"/>
  <c r="G8" i="10"/>
  <c r="G9" i="10"/>
  <c r="G10" i="10"/>
  <c r="G11" i="10"/>
  <c r="H13" i="10"/>
  <c r="G12" i="10"/>
  <c r="S12" i="10"/>
  <c r="G13" i="10"/>
  <c r="H15" i="10"/>
  <c r="G14" i="10"/>
  <c r="G15" i="10"/>
  <c r="G16" i="10"/>
  <c r="G17" i="10"/>
  <c r="S17" i="10"/>
  <c r="G18" i="10"/>
  <c r="H20" i="10"/>
  <c r="G19" i="10"/>
  <c r="H21" i="10"/>
  <c r="G20" i="10"/>
  <c r="G21" i="10"/>
  <c r="G22" i="10"/>
  <c r="G23" i="10"/>
  <c r="S23" i="10"/>
  <c r="G24" i="10"/>
  <c r="Q24" i="10"/>
  <c r="G25" i="10"/>
  <c r="H27" i="10"/>
  <c r="G26" i="10"/>
  <c r="G27" i="10"/>
  <c r="G28" i="10"/>
  <c r="G29" i="10"/>
  <c r="S29" i="10"/>
  <c r="G30" i="10"/>
  <c r="S30" i="10"/>
  <c r="G31" i="10"/>
  <c r="G32" i="10"/>
  <c r="G5" i="11"/>
  <c r="G6" i="11"/>
  <c r="H8" i="11"/>
  <c r="G7" i="11"/>
  <c r="G8" i="11"/>
  <c r="H10" i="11"/>
  <c r="G9" i="11"/>
  <c r="H11" i="11"/>
  <c r="G10" i="11"/>
  <c r="G11" i="11"/>
  <c r="G12" i="11"/>
  <c r="H14" i="11"/>
  <c r="G13" i="11"/>
  <c r="G14" i="11"/>
  <c r="H16" i="11"/>
  <c r="G15" i="11"/>
  <c r="H17" i="11"/>
  <c r="G16" i="11"/>
  <c r="G17" i="11"/>
  <c r="G18" i="11"/>
  <c r="C5" i="11"/>
  <c r="O5" i="11"/>
  <c r="C6" i="11"/>
  <c r="I8" i="11"/>
  <c r="C7" i="11"/>
  <c r="I9" i="11"/>
  <c r="C8" i="11"/>
  <c r="C9" i="11"/>
  <c r="I11" i="11"/>
  <c r="C10" i="11"/>
  <c r="I12" i="11"/>
  <c r="C11" i="11"/>
  <c r="O11" i="11"/>
  <c r="C12" i="11"/>
  <c r="I14" i="11"/>
  <c r="C13" i="11"/>
  <c r="O13" i="11"/>
  <c r="C14" i="11"/>
  <c r="C15" i="11"/>
  <c r="I17" i="11"/>
  <c r="C16" i="11"/>
  <c r="C17" i="11"/>
  <c r="O17" i="11"/>
  <c r="C18" i="11"/>
  <c r="O18" i="11"/>
  <c r="D17" i="11"/>
  <c r="E17" i="11"/>
  <c r="D18" i="11"/>
  <c r="E18" i="11"/>
  <c r="C24" i="12"/>
  <c r="P22" i="12"/>
  <c r="N22" i="12"/>
  <c r="P21" i="12"/>
  <c r="N21" i="12"/>
  <c r="S21" i="12"/>
  <c r="E21" i="12"/>
  <c r="D21" i="12"/>
  <c r="P20" i="12"/>
  <c r="N20" i="12"/>
  <c r="E20" i="12"/>
  <c r="D20" i="12"/>
  <c r="P19" i="12"/>
  <c r="N19" i="12"/>
  <c r="E19" i="12"/>
  <c r="D19" i="12"/>
  <c r="P18" i="12"/>
  <c r="N18" i="12"/>
  <c r="Q18" i="12"/>
  <c r="E18" i="12"/>
  <c r="D18" i="12"/>
  <c r="R18" i="12"/>
  <c r="P17" i="12"/>
  <c r="N17" i="12"/>
  <c r="Q17" i="12"/>
  <c r="E17" i="12"/>
  <c r="D17" i="12"/>
  <c r="R17" i="12"/>
  <c r="P16" i="12"/>
  <c r="N16" i="12"/>
  <c r="E16" i="12"/>
  <c r="D16" i="12"/>
  <c r="P15" i="12"/>
  <c r="N15" i="12"/>
  <c r="E15" i="12"/>
  <c r="D15" i="12"/>
  <c r="R15" i="12"/>
  <c r="P14" i="12"/>
  <c r="N14" i="12"/>
  <c r="Q14" i="12"/>
  <c r="E14" i="12"/>
  <c r="D14" i="12"/>
  <c r="P13" i="12"/>
  <c r="N13" i="12"/>
  <c r="Q13" i="12"/>
  <c r="E13" i="12"/>
  <c r="D13" i="12"/>
  <c r="R13" i="12"/>
  <c r="P12" i="12"/>
  <c r="N12" i="12"/>
  <c r="E12" i="12"/>
  <c r="D12" i="12"/>
  <c r="P11" i="12"/>
  <c r="N11" i="12"/>
  <c r="E11" i="12"/>
  <c r="D11" i="12"/>
  <c r="R11" i="12"/>
  <c r="P10" i="12"/>
  <c r="N10" i="12"/>
  <c r="S10" i="12"/>
  <c r="E10" i="12"/>
  <c r="D10" i="12"/>
  <c r="R10" i="12"/>
  <c r="P9" i="12"/>
  <c r="N9" i="12"/>
  <c r="S9" i="12"/>
  <c r="E9" i="12"/>
  <c r="D9" i="12"/>
  <c r="P8" i="12"/>
  <c r="N8" i="12"/>
  <c r="E8" i="12"/>
  <c r="D8" i="12"/>
  <c r="P7" i="12"/>
  <c r="N7" i="12"/>
  <c r="E7" i="12"/>
  <c r="D7" i="12"/>
  <c r="C27" i="12"/>
  <c r="R7" i="12"/>
  <c r="P6" i="12"/>
  <c r="N6" i="12"/>
  <c r="E6" i="12"/>
  <c r="D6" i="12"/>
  <c r="R6" i="12"/>
  <c r="P5" i="12"/>
  <c r="N5" i="12"/>
  <c r="Q5" i="12"/>
  <c r="E5" i="12"/>
  <c r="D5" i="12"/>
  <c r="C28" i="12"/>
  <c r="R5" i="12"/>
  <c r="P4" i="12"/>
  <c r="N4" i="12"/>
  <c r="G4" i="12"/>
  <c r="Q4" i="12"/>
  <c r="C4" i="12"/>
  <c r="O4" i="12"/>
  <c r="I6" i="12"/>
  <c r="C20" i="11"/>
  <c r="P18" i="11"/>
  <c r="N18" i="11"/>
  <c r="S18" i="11"/>
  <c r="P17" i="11"/>
  <c r="N17" i="11"/>
  <c r="S17" i="11"/>
  <c r="P16" i="11"/>
  <c r="N16" i="11"/>
  <c r="S16" i="11"/>
  <c r="E16" i="11"/>
  <c r="D16" i="11"/>
  <c r="P15" i="11"/>
  <c r="N15" i="11"/>
  <c r="E15" i="11"/>
  <c r="D15" i="11"/>
  <c r="P14" i="11"/>
  <c r="N14" i="11"/>
  <c r="E14" i="11"/>
  <c r="D14" i="11"/>
  <c r="P13" i="11"/>
  <c r="N13" i="11"/>
  <c r="S13" i="11"/>
  <c r="E13" i="11"/>
  <c r="D13" i="11"/>
  <c r="P12" i="11"/>
  <c r="N12" i="11"/>
  <c r="S12" i="11"/>
  <c r="E12" i="11"/>
  <c r="D12" i="11"/>
  <c r="P11" i="11"/>
  <c r="N11" i="11"/>
  <c r="S11" i="11"/>
  <c r="E11" i="11"/>
  <c r="D11" i="11"/>
  <c r="P10" i="11"/>
  <c r="N10" i="11"/>
  <c r="S10" i="11"/>
  <c r="E10" i="11"/>
  <c r="D10" i="11"/>
  <c r="P9" i="11"/>
  <c r="N9" i="11"/>
  <c r="E9" i="11"/>
  <c r="D9" i="11"/>
  <c r="C23" i="11"/>
  <c r="P8" i="11"/>
  <c r="N8" i="11"/>
  <c r="E8" i="11"/>
  <c r="D8" i="11"/>
  <c r="P7" i="11"/>
  <c r="N7" i="11"/>
  <c r="S7" i="11"/>
  <c r="E7" i="11"/>
  <c r="D7" i="11"/>
  <c r="P6" i="11"/>
  <c r="N6" i="11"/>
  <c r="S6" i="11"/>
  <c r="E6" i="11"/>
  <c r="D6" i="11"/>
  <c r="P5" i="11"/>
  <c r="N5" i="11"/>
  <c r="S5" i="11"/>
  <c r="E5" i="11"/>
  <c r="C24" i="11"/>
  <c r="D5" i="11"/>
  <c r="P4" i="11"/>
  <c r="O4" i="11"/>
  <c r="N4" i="11"/>
  <c r="G4" i="11"/>
  <c r="H6" i="11"/>
  <c r="C4" i="11"/>
  <c r="R4" i="11"/>
  <c r="H8" i="10"/>
  <c r="H9" i="10"/>
  <c r="I8" i="10"/>
  <c r="D31" i="10"/>
  <c r="E31" i="10"/>
  <c r="D32" i="10"/>
  <c r="E32" i="10"/>
  <c r="O18" i="12"/>
  <c r="R6" i="10"/>
  <c r="I9" i="10"/>
  <c r="Q12" i="11"/>
  <c r="Q6" i="11"/>
  <c r="I6" i="11"/>
  <c r="O7" i="12"/>
  <c r="O11" i="12"/>
  <c r="O15" i="12"/>
  <c r="O5" i="12"/>
  <c r="O6" i="12"/>
  <c r="O10" i="12"/>
  <c r="O14" i="12"/>
  <c r="O22" i="12"/>
  <c r="O13" i="12"/>
  <c r="O17" i="12"/>
  <c r="R4" i="12"/>
  <c r="S5" i="12"/>
  <c r="O8" i="12"/>
  <c r="O12" i="12"/>
  <c r="O16" i="12"/>
  <c r="O20" i="12"/>
  <c r="Q7" i="11"/>
  <c r="Q13" i="11"/>
  <c r="Q16" i="11"/>
  <c r="Q17" i="11"/>
  <c r="Q9" i="11"/>
  <c r="Q10" i="11"/>
  <c r="Q18" i="11"/>
  <c r="Q5" i="11"/>
  <c r="Q11" i="11"/>
  <c r="R18" i="11"/>
  <c r="S7" i="12"/>
  <c r="S8" i="12"/>
  <c r="S13" i="12"/>
  <c r="S14" i="12"/>
  <c r="S18" i="12"/>
  <c r="S22" i="12"/>
  <c r="H6" i="12"/>
  <c r="Q6" i="12"/>
  <c r="Q9" i="12"/>
  <c r="Q10" i="12"/>
  <c r="Q12" i="12"/>
  <c r="Q19" i="12"/>
  <c r="Q20" i="12"/>
  <c r="Q21" i="12"/>
  <c r="O8" i="11"/>
  <c r="R8" i="11"/>
  <c r="R12" i="11"/>
  <c r="O9" i="11"/>
  <c r="R9" i="11"/>
  <c r="R6" i="11"/>
  <c r="O10" i="11"/>
  <c r="R10" i="11"/>
  <c r="O14" i="11"/>
  <c r="R14" i="11"/>
  <c r="O7" i="11"/>
  <c r="R7" i="11"/>
  <c r="O15" i="11"/>
  <c r="R15" i="11"/>
  <c r="O16" i="11"/>
  <c r="R16" i="11"/>
  <c r="R5" i="11"/>
  <c r="S31" i="10"/>
  <c r="S32" i="10"/>
  <c r="R31" i="10"/>
  <c r="R32" i="10"/>
  <c r="H7" i="10"/>
  <c r="S27" i="10"/>
  <c r="H29" i="10"/>
  <c r="S19" i="10"/>
  <c r="S11" i="10"/>
  <c r="H28" i="10"/>
  <c r="S26" i="10"/>
  <c r="H16" i="10"/>
  <c r="S14" i="10"/>
  <c r="S8" i="10"/>
  <c r="H10" i="10"/>
  <c r="H31" i="10"/>
  <c r="S25" i="10"/>
  <c r="H23" i="10"/>
  <c r="S21" i="10"/>
  <c r="H19" i="10"/>
  <c r="S13" i="10"/>
  <c r="S9" i="10"/>
  <c r="H11" i="10"/>
  <c r="H25" i="10"/>
  <c r="S15" i="10"/>
  <c r="H17" i="10"/>
  <c r="H32" i="10"/>
  <c r="H24" i="10"/>
  <c r="S22" i="10"/>
  <c r="S10" i="10"/>
  <c r="H12" i="10"/>
  <c r="S28" i="10"/>
  <c r="H30" i="10"/>
  <c r="S20" i="10"/>
  <c r="H22" i="10"/>
  <c r="S16" i="10"/>
  <c r="H18" i="10"/>
  <c r="R10" i="10"/>
  <c r="R8" i="10"/>
  <c r="I10" i="10"/>
  <c r="I31" i="10"/>
  <c r="I23" i="10"/>
  <c r="R21" i="10"/>
  <c r="I15" i="10"/>
  <c r="R13" i="10"/>
  <c r="I26" i="10"/>
  <c r="R24" i="10"/>
  <c r="I22" i="10"/>
  <c r="R20" i="10"/>
  <c r="I14" i="10"/>
  <c r="R12" i="10"/>
  <c r="R30" i="10"/>
  <c r="I32" i="10"/>
  <c r="R26" i="10"/>
  <c r="I28" i="10"/>
  <c r="R18" i="10"/>
  <c r="I20" i="10"/>
  <c r="R14" i="10"/>
  <c r="I16" i="10"/>
  <c r="I27" i="10"/>
  <c r="R25" i="10"/>
  <c r="R17" i="10"/>
  <c r="I19" i="10"/>
  <c r="R9" i="10"/>
  <c r="I29" i="10"/>
  <c r="R27" i="10"/>
  <c r="R23" i="10"/>
  <c r="I21" i="10"/>
  <c r="R19" i="10"/>
  <c r="I17" i="10"/>
  <c r="R15" i="10"/>
  <c r="R11" i="10"/>
  <c r="G4" i="10"/>
  <c r="C4" i="10"/>
  <c r="R4" i="10"/>
  <c r="H6" i="10"/>
  <c r="S4" i="10"/>
  <c r="I6" i="10"/>
  <c r="D5" i="10"/>
  <c r="E5" i="10"/>
  <c r="C38" i="10"/>
  <c r="D6" i="10"/>
  <c r="E6" i="10"/>
  <c r="D7" i="10"/>
  <c r="E7" i="10"/>
  <c r="D8" i="10"/>
  <c r="E8" i="10"/>
  <c r="D9" i="10"/>
  <c r="E9" i="10"/>
  <c r="D10" i="10"/>
  <c r="E10" i="10"/>
  <c r="D11" i="10"/>
  <c r="E11" i="10"/>
  <c r="D12" i="10"/>
  <c r="E12" i="10"/>
  <c r="D13" i="10"/>
  <c r="E13" i="10"/>
  <c r="D14" i="10"/>
  <c r="E14" i="10"/>
  <c r="D15" i="10"/>
  <c r="E15" i="10"/>
  <c r="D16" i="10"/>
  <c r="E16" i="10"/>
  <c r="D17" i="10"/>
  <c r="E17" i="10"/>
  <c r="D18" i="10"/>
  <c r="E18" i="10"/>
  <c r="D19" i="10"/>
  <c r="E19" i="10"/>
  <c r="D20" i="10"/>
  <c r="E20" i="10"/>
  <c r="D21" i="10"/>
  <c r="E21" i="10"/>
  <c r="D22" i="10"/>
  <c r="E22" i="10"/>
  <c r="D23" i="10"/>
  <c r="E23" i="10"/>
  <c r="D24" i="10"/>
  <c r="E24" i="10"/>
  <c r="D25" i="10"/>
  <c r="E25" i="10"/>
  <c r="D26" i="10"/>
  <c r="E26" i="10"/>
  <c r="D27" i="10"/>
  <c r="E27" i="10"/>
  <c r="D28" i="10"/>
  <c r="E28" i="10"/>
  <c r="D29" i="10"/>
  <c r="E29" i="10"/>
  <c r="D30" i="10"/>
  <c r="E30" i="10"/>
  <c r="C34" i="10"/>
  <c r="Q32" i="10"/>
  <c r="P32" i="10"/>
  <c r="O32" i="10"/>
  <c r="N32" i="10"/>
  <c r="O27" i="10"/>
  <c r="Q27" i="10"/>
  <c r="P31" i="10"/>
  <c r="N31" i="10"/>
  <c r="O19" i="10"/>
  <c r="P30" i="10"/>
  <c r="O30" i="10"/>
  <c r="N30" i="10"/>
  <c r="P29" i="10"/>
  <c r="N29" i="10"/>
  <c r="P28" i="10"/>
  <c r="N28" i="10"/>
  <c r="Q23" i="10"/>
  <c r="P27" i="10"/>
  <c r="N27" i="10"/>
  <c r="P26" i="10"/>
  <c r="N26" i="10"/>
  <c r="P25" i="10"/>
  <c r="O25" i="10"/>
  <c r="N25" i="10"/>
  <c r="P24" i="10"/>
  <c r="N24" i="10"/>
  <c r="O12" i="10"/>
  <c r="Q19" i="10"/>
  <c r="P23" i="10"/>
  <c r="N23" i="10"/>
  <c r="P22" i="10"/>
  <c r="N22" i="10"/>
  <c r="P21" i="10"/>
  <c r="N21" i="10"/>
  <c r="P20" i="10"/>
  <c r="N20" i="10"/>
  <c r="O8" i="10"/>
  <c r="P19" i="10"/>
  <c r="N19" i="10"/>
  <c r="P18" i="10"/>
  <c r="O18" i="10"/>
  <c r="N18" i="10"/>
  <c r="P17" i="10"/>
  <c r="N17" i="10"/>
  <c r="P16" i="10"/>
  <c r="N16" i="10"/>
  <c r="Q11" i="10"/>
  <c r="P15" i="10"/>
  <c r="N15" i="10"/>
  <c r="Q10" i="10"/>
  <c r="P14" i="10"/>
  <c r="N14" i="10"/>
  <c r="Q13" i="10"/>
  <c r="P13" i="10"/>
  <c r="N13" i="10"/>
  <c r="P12" i="10"/>
  <c r="N12" i="10"/>
  <c r="P11" i="10"/>
  <c r="N11" i="10"/>
  <c r="P10" i="10"/>
  <c r="N10" i="10"/>
  <c r="Q9" i="10"/>
  <c r="P9" i="10"/>
  <c r="N9" i="10"/>
  <c r="Q8" i="10"/>
  <c r="P8" i="10"/>
  <c r="N8" i="10"/>
  <c r="P7" i="10"/>
  <c r="N7" i="10"/>
  <c r="P6" i="10"/>
  <c r="O6" i="10"/>
  <c r="N6" i="10"/>
  <c r="P5" i="10"/>
  <c r="N5" i="10"/>
  <c r="Q4" i="10"/>
  <c r="P4" i="10"/>
  <c r="N4" i="10"/>
  <c r="Q17" i="10"/>
  <c r="Q21" i="10"/>
  <c r="O17" i="10"/>
  <c r="O29" i="10"/>
  <c r="O21" i="10"/>
  <c r="O26" i="10"/>
  <c r="Q7" i="10"/>
  <c r="Q15" i="10"/>
  <c r="O14" i="10"/>
  <c r="Q26" i="10"/>
  <c r="Q31" i="10"/>
  <c r="Q14" i="10"/>
  <c r="Q22" i="10"/>
  <c r="Q30" i="10"/>
  <c r="O13" i="10"/>
  <c r="O20" i="10"/>
  <c r="O7" i="10"/>
  <c r="O15" i="10"/>
  <c r="O24" i="10"/>
  <c r="Q16" i="10"/>
  <c r="Q20" i="10"/>
  <c r="O23" i="10"/>
  <c r="Q28" i="10"/>
  <c r="O31" i="10"/>
  <c r="O4" i="10"/>
  <c r="A8" i="25"/>
  <c r="O88" i="13"/>
  <c r="Q76" i="13"/>
  <c r="Q70" i="13"/>
  <c r="Q59" i="13"/>
  <c r="O25" i="13"/>
  <c r="O8" i="13"/>
  <c r="O22" i="13"/>
  <c r="O67" i="13"/>
  <c r="Q84" i="13"/>
  <c r="Q74" i="13"/>
  <c r="Q67" i="13"/>
  <c r="Q11" i="13"/>
  <c r="Q21" i="13"/>
  <c r="Q91" i="13"/>
  <c r="Q83" i="13"/>
  <c r="Q71" i="13"/>
  <c r="Q65" i="13"/>
  <c r="Q90" i="13"/>
  <c r="Q8" i="13"/>
  <c r="H16" i="13"/>
  <c r="O13" i="13"/>
  <c r="I22" i="13"/>
  <c r="Q60" i="13"/>
  <c r="H68" i="13"/>
  <c r="O87" i="13"/>
  <c r="O62" i="13"/>
  <c r="O92" i="13"/>
  <c r="I101" i="13"/>
  <c r="Q55" i="13"/>
  <c r="H63" i="13"/>
  <c r="Q49" i="13"/>
  <c r="H57" i="13"/>
  <c r="Q32" i="13"/>
  <c r="H40" i="13"/>
  <c r="Q31" i="13"/>
  <c r="H39" i="13"/>
  <c r="Q7" i="13"/>
  <c r="O6" i="13"/>
  <c r="Q15" i="13"/>
  <c r="O9" i="13"/>
  <c r="I18" i="13"/>
  <c r="I3" i="13"/>
  <c r="O19" i="13"/>
  <c r="I28" i="13"/>
  <c r="Q38" i="13"/>
  <c r="O69" i="13"/>
  <c r="Q46" i="13"/>
  <c r="Q26" i="13"/>
  <c r="O80" i="13"/>
  <c r="Q82" i="13"/>
  <c r="H90" i="13"/>
  <c r="O75" i="13"/>
  <c r="I84" i="13"/>
  <c r="O29" i="13"/>
  <c r="I38" i="13"/>
  <c r="O26" i="13"/>
  <c r="I35" i="13"/>
  <c r="Q24" i="13"/>
  <c r="Q10" i="13"/>
  <c r="O20" i="13"/>
  <c r="I29" i="13"/>
  <c r="O79" i="13"/>
  <c r="O93" i="13"/>
  <c r="O68" i="13"/>
  <c r="I77" i="13"/>
  <c r="Q66" i="13"/>
  <c r="H74" i="13"/>
  <c r="Q56" i="13"/>
  <c r="H64" i="13"/>
  <c r="Q50" i="13"/>
  <c r="H58" i="13"/>
  <c r="Q44" i="13"/>
  <c r="H52" i="13"/>
  <c r="Q43" i="13"/>
  <c r="H51" i="13"/>
  <c r="Q37" i="13"/>
  <c r="H45" i="13"/>
  <c r="O86" i="13"/>
  <c r="I95" i="13"/>
  <c r="O21" i="13"/>
  <c r="C110" i="13"/>
  <c r="C109" i="13"/>
  <c r="O14" i="13"/>
  <c r="I23" i="13"/>
  <c r="O73" i="13"/>
  <c r="Q51" i="13"/>
  <c r="O77" i="13"/>
  <c r="Q28" i="13"/>
  <c r="Q92" i="13"/>
  <c r="Q89" i="13"/>
  <c r="O81" i="13"/>
  <c r="I90" i="13"/>
  <c r="Q79" i="13"/>
  <c r="H87" i="13"/>
  <c r="Q77" i="13"/>
  <c r="O74" i="13"/>
  <c r="Q73" i="13"/>
  <c r="H81" i="13"/>
  <c r="Q72" i="13"/>
  <c r="Q68" i="13"/>
  <c r="Q61" i="13"/>
  <c r="Q86" i="13"/>
  <c r="H94" i="13"/>
  <c r="A6" i="13"/>
  <c r="A7" i="13"/>
  <c r="A8" i="13"/>
  <c r="R28" i="10"/>
  <c r="I24" i="10"/>
  <c r="O6" i="11"/>
  <c r="I7" i="11"/>
  <c r="I10" i="12"/>
  <c r="R8" i="12"/>
  <c r="H19" i="12"/>
  <c r="H8" i="12"/>
  <c r="O12" i="13"/>
  <c r="Q93" i="13"/>
  <c r="Q69" i="13"/>
  <c r="Q96" i="13"/>
  <c r="I11" i="12"/>
  <c r="R9" i="12"/>
  <c r="S16" i="12"/>
  <c r="H18" i="12"/>
  <c r="Q12" i="10"/>
  <c r="I7" i="10"/>
  <c r="C37" i="10"/>
  <c r="O28" i="10"/>
  <c r="Q25" i="10"/>
  <c r="O9" i="10"/>
  <c r="Q29" i="10"/>
  <c r="Q5" i="10"/>
  <c r="R5" i="10"/>
  <c r="I18" i="10"/>
  <c r="R22" i="10"/>
  <c r="R17" i="11"/>
  <c r="R11" i="11"/>
  <c r="R13" i="11"/>
  <c r="Q16" i="12"/>
  <c r="S4" i="12"/>
  <c r="Q15" i="11"/>
  <c r="S9" i="11"/>
  <c r="S15" i="11"/>
  <c r="R19" i="12"/>
  <c r="R12" i="12"/>
  <c r="H13" i="12"/>
  <c r="O11" i="13"/>
  <c r="Q45" i="13"/>
  <c r="O66" i="13"/>
  <c r="O85" i="13"/>
  <c r="R16" i="10"/>
  <c r="O12" i="11"/>
  <c r="O21" i="12"/>
  <c r="Q18" i="10"/>
  <c r="O11" i="10"/>
  <c r="H14" i="10"/>
  <c r="H26" i="10"/>
  <c r="S18" i="10"/>
  <c r="Q15" i="12"/>
  <c r="Q14" i="11"/>
  <c r="S6" i="10"/>
  <c r="Q4" i="11"/>
  <c r="S8" i="11"/>
  <c r="S14" i="11"/>
  <c r="H17" i="12"/>
  <c r="Q16" i="13"/>
  <c r="Q23" i="13"/>
  <c r="Q78" i="13"/>
  <c r="O76" i="13"/>
  <c r="Q58" i="13"/>
  <c r="Q54" i="13"/>
  <c r="Q53" i="13"/>
  <c r="Q48" i="13"/>
  <c r="Q47" i="13"/>
  <c r="Q42" i="13"/>
  <c r="Q41" i="13"/>
  <c r="Q36" i="13"/>
  <c r="Q35" i="13"/>
  <c r="Q33" i="13"/>
  <c r="Q29" i="13"/>
  <c r="Q27" i="13"/>
  <c r="Q88" i="13"/>
  <c r="O10" i="10"/>
  <c r="S24" i="10"/>
  <c r="S11" i="12"/>
  <c r="O9" i="12"/>
  <c r="O19" i="12"/>
  <c r="Q7" i="12"/>
  <c r="H9" i="12"/>
  <c r="O5" i="13"/>
  <c r="Q9" i="13"/>
  <c r="O18" i="13"/>
  <c r="Q8" i="11"/>
  <c r="S4" i="11"/>
  <c r="R14" i="12"/>
  <c r="Q17" i="13"/>
  <c r="O17" i="13"/>
  <c r="O23" i="13"/>
  <c r="O24" i="13"/>
  <c r="O82" i="13"/>
  <c r="Q64" i="13"/>
  <c r="Q63" i="13"/>
  <c r="O61" i="13"/>
  <c r="O60" i="13"/>
  <c r="O91" i="13"/>
  <c r="Q81" i="13"/>
  <c r="Q75" i="13"/>
  <c r="A9" i="25"/>
  <c r="H1" i="13"/>
  <c r="A9" i="13"/>
  <c r="H106" i="13"/>
  <c r="I1" i="13"/>
  <c r="I106" i="13"/>
  <c r="A10" i="13"/>
  <c r="A10" i="25"/>
  <c r="A11" i="13"/>
  <c r="A11" i="25"/>
  <c r="A12" i="25"/>
  <c r="A12" i="13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88" i="25"/>
  <c r="A89" i="25"/>
  <c r="C91" i="25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C106" i="13"/>
</calcChain>
</file>

<file path=xl/sharedStrings.xml><?xml version="1.0" encoding="utf-8"?>
<sst xmlns="http://schemas.openxmlformats.org/spreadsheetml/2006/main" count="133" uniqueCount="28">
  <si>
    <t>Chuyến</t>
  </si>
  <si>
    <t>time</t>
  </si>
  <si>
    <t>Tổng số chuyến:</t>
  </si>
  <si>
    <t>chuyến</t>
  </si>
  <si>
    <t>Thời gian vận hành:</t>
  </si>
  <si>
    <t>phút</t>
  </si>
  <si>
    <t>Thời gian giãn cách:</t>
  </si>
  <si>
    <t xml:space="preserve">   Cao điểm: </t>
  </si>
  <si>
    <t xml:space="preserve">   Thấp điểm: </t>
  </si>
  <si>
    <t>Star</t>
  </si>
  <si>
    <t>HTX19/5</t>
  </si>
  <si>
    <t>Đến 
Bến xe An Sương</t>
  </si>
  <si>
    <t>Bến xe buýt Sài Gòn</t>
  </si>
  <si>
    <t>Bến xe An Sương</t>
  </si>
  <si>
    <t>50-55</t>
  </si>
  <si>
    <t>Đi
BX buýt Sài Gòn</t>
  </si>
  <si>
    <t>Đi
BX An Sương</t>
  </si>
  <si>
    <t>Đến
BX buýt Sài Gòn</t>
  </si>
  <si>
    <t>4 xe</t>
  </si>
  <si>
    <r>
      <t xml:space="preserve">2.2. Tuyến xe buýt có trợ giá số 4: Bến Thành - Cộng Hòa - Bến xe An Sương
</t>
    </r>
    <r>
      <rPr>
        <i/>
        <sz val="13"/>
        <rFont val="Times New Roman"/>
        <family val="1"/>
      </rPr>
      <t xml:space="preserve">
</t>
    </r>
    <r>
      <rPr>
        <b/>
        <sz val="13"/>
        <rFont val="Times New Roman"/>
        <family val="1"/>
      </rPr>
      <t xml:space="preserve">BIỂU ĐỒ CHẠY XE
</t>
    </r>
    <r>
      <rPr>
        <sz val="13"/>
        <rFont val="Times New Roman"/>
        <family val="1"/>
      </rPr>
      <t>Áp dụng ngày 31/01/2022</t>
    </r>
  </si>
  <si>
    <r>
      <t xml:space="preserve">2.3. Tuyến xe buýt có trợ giá số 4: Bến Thành - Cộng Hòa - Bến xe An Sương
</t>
    </r>
    <r>
      <rPr>
        <i/>
        <sz val="13"/>
        <rFont val="Times New Roman"/>
        <family val="1"/>
      </rPr>
      <t xml:space="preserve">
</t>
    </r>
    <r>
      <rPr>
        <b/>
        <sz val="13"/>
        <rFont val="Times New Roman"/>
        <family val="1"/>
      </rPr>
      <t xml:space="preserve">BIỂU ĐỒ CHẠY XE
</t>
    </r>
    <r>
      <rPr>
        <sz val="13"/>
        <rFont val="Times New Roman"/>
        <family val="1"/>
      </rPr>
      <t xml:space="preserve">Áp dụng ngày 01/02/2022 </t>
    </r>
  </si>
  <si>
    <r>
      <t xml:space="preserve">2.1. Tuyến xe buýt có trợ giá số 4: Bến Thành - Cộng Hòa - Bến xe An Sương
</t>
    </r>
    <r>
      <rPr>
        <i/>
        <sz val="13"/>
        <rFont val="Times New Roman"/>
        <family val="1"/>
      </rPr>
      <t xml:space="preserve">
</t>
    </r>
    <r>
      <rPr>
        <b/>
        <sz val="13"/>
        <rFont val="Times New Roman"/>
        <family val="1"/>
      </rPr>
      <t xml:space="preserve">BIỂU ĐỒ CHẠY XE
</t>
    </r>
    <r>
      <rPr>
        <sz val="13"/>
        <rFont val="Times New Roman"/>
        <family val="1"/>
      </rPr>
      <t>Áp dụng từ ngày 22/01/2022 đến hết ngày 30/01/2022 và từ ngày 02/02/2022 đến hết ngày 10/02/2022</t>
    </r>
  </si>
  <si>
    <t>50-70</t>
  </si>
  <si>
    <r>
      <t xml:space="preserve">1.2.Tuyến xe buýt có trợ giá số 4: Bến Thành - Cộng Hòa - Bến xe An Sương
BIỂU ĐỒ CHẠY XE
</t>
    </r>
    <r>
      <rPr>
        <sz val="13"/>
        <rFont val="Times New Roman"/>
        <family val="1"/>
      </rPr>
      <t>Thực hiện từ ngày 17/02/2025 trở đi</t>
    </r>
  </si>
  <si>
    <r>
      <t xml:space="preserve">Phụ lục
1.Tuyến xe buýt có trợ giá số 4: Bến Thành - Cộng Hòa - Bến xe An Sương
</t>
    </r>
    <r>
      <rPr>
        <i/>
        <sz val="13"/>
        <rFont val="Times New Roman"/>
        <family val="1"/>
      </rPr>
      <t>(Ban hành kèm theo Quyết định số           /QĐ-TTQLGTCC  ngày       /4/2025 của Trung tâm Quản lý Giao thông công cộng)</t>
    </r>
    <r>
      <rPr>
        <b/>
        <sz val="13"/>
        <rFont val="Times New Roman"/>
        <family val="1"/>
      </rPr>
      <t xml:space="preserve">
BIỂU ĐỒ CHẠY XE</t>
    </r>
  </si>
  <si>
    <t>2.Tuyến xe buýt có trợ giá số 4: Bến Thành - Cộng Hòa - Bến xe An Sương
BIỂU ĐỒ CHẠY XE</t>
  </si>
  <si>
    <t>Thực hiện từ ngày 01/5/2025 đến hết ngày 03/5/2025</t>
  </si>
  <si>
    <t>Thực hiện từ ngày 04/5/2025 trở 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</si>
</sst>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\ ;\(\$#,##0\)"/>
    <numFmt numFmtId="165" formatCode="&quot;\&quot;#,##0;[Red]&quot;\&quot;&quot;\&quot;\-#,##0"/>
    <numFmt numFmtId="166" formatCode="&quot;\&quot;#,##0.00;[Red]&quot;\&quot;&quot;\&quot;&quot;\&quot;&quot;\&quot;&quot;\&quot;&quot;\&quot;\-#,##0.00"/>
    <numFmt numFmtId="167" formatCode="&quot;\&quot;#,##0.00;[Red]&quot;\&quot;\-#,##0.00"/>
    <numFmt numFmtId="168" formatCode="&quot;\&quot;#,##0;[Red]&quot;\&quot;\-#,##0"/>
  </numFmts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0"/>
      <name val="VNI-Times"/>
    </font>
    <font>
      <sz val="12"/>
      <name val="Times New Roman"/>
      <family val="1"/>
    </font>
    <font>
      <sz val="12"/>
      <name val="VNI-Times"/>
    </font>
    <font>
      <sz val="12"/>
      <color indexed="9"/>
      <name val="Times New Roman"/>
      <family val="1"/>
    </font>
    <font>
      <sz val="10"/>
      <color indexed="10"/>
      <name val="Times New Roman"/>
      <family val="1"/>
    </font>
    <font>
      <sz val="10"/>
      <color indexed="9"/>
      <name val="Times New Roman"/>
      <family val="1"/>
    </font>
    <font>
      <sz val="10"/>
      <name val="VNI-Helve"/>
    </font>
    <font>
      <sz val="10"/>
      <name val="VNI-Aptima"/>
    </font>
    <font>
      <b/>
      <sz val="12"/>
      <name val="Arial"/>
      <family val="2"/>
    </font>
    <font>
      <b/>
      <sz val="12"/>
      <name val="VN-NTime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  <font>
      <i/>
      <sz val="13"/>
      <name val="Times New Roman"/>
      <family val="1"/>
    </font>
    <font>
      <sz val="13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0" fontId="1" fillId="0" borderId="0"/>
    <xf numFmtId="1" fontId="12" fillId="0" borderId="5" applyBorder="0"/>
    <xf numFmtId="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3" fillId="0" borderId="9" applyNumberFormat="0" applyAlignment="0" applyProtection="0">
      <alignment horizontal="left" vertical="center"/>
    </xf>
    <xf numFmtId="0" fontId="13" fillId="0" borderId="4">
      <alignment horizontal="left" vertical="center"/>
    </xf>
    <xf numFmtId="0" fontId="14" fillId="0" borderId="8" applyNumberFormat="0" applyFont="0" applyFill="0" applyBorder="0" applyAlignment="0">
      <alignment horizontal="center"/>
    </xf>
    <xf numFmtId="0" fontId="1" fillId="0" borderId="0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16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8" fillId="0" borderId="0"/>
  </cellStyleXfs>
  <cellXfs count="51">
    <xf numFmtId="0" fontId="0" fillId="0" borderId="0" xfId="0"/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6" xfId="1" applyFont="1" applyBorder="1" applyAlignment="1">
      <alignment horizontal="center"/>
    </xf>
    <xf numFmtId="0" fontId="3" fillId="0" borderId="8" xfId="1" applyFont="1" applyBorder="1" applyAlignment="1">
      <alignment horizontal="center" wrapText="1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4" fillId="0" borderId="8" xfId="1" applyFont="1" applyBorder="1" applyAlignment="1">
      <alignment horizontal="center"/>
    </xf>
    <xf numFmtId="20" fontId="4" fillId="0" borderId="8" xfId="1" applyNumberFormat="1" applyFont="1" applyBorder="1" applyAlignment="1">
      <alignment horizontal="center"/>
    </xf>
    <xf numFmtId="20" fontId="4" fillId="0" borderId="0" xfId="1" applyNumberFormat="1" applyFont="1"/>
    <xf numFmtId="0" fontId="4" fillId="0" borderId="0" xfId="1" applyFont="1"/>
    <xf numFmtId="20" fontId="4" fillId="0" borderId="8" xfId="1" applyNumberFormat="1" applyFont="1" applyBorder="1"/>
    <xf numFmtId="0" fontId="5" fillId="0" borderId="0" xfId="1" applyFont="1"/>
    <xf numFmtId="0" fontId="6" fillId="0" borderId="0" xfId="1" applyFont="1" applyAlignment="1">
      <alignment horizontal="left"/>
    </xf>
    <xf numFmtId="0" fontId="6" fillId="0" borderId="0" xfId="1" applyFont="1" applyAlignment="1">
      <alignment horizontal="right"/>
    </xf>
    <xf numFmtId="45" fontId="6" fillId="0" borderId="0" xfId="1" applyNumberFormat="1" applyFont="1" applyAlignment="1">
      <alignment horizontal="center"/>
    </xf>
    <xf numFmtId="45" fontId="8" fillId="0" borderId="0" xfId="1" applyNumberFormat="1" applyFont="1" applyAlignment="1">
      <alignment horizontal="center"/>
    </xf>
    <xf numFmtId="20" fontId="6" fillId="0" borderId="0" xfId="1" applyNumberFormat="1" applyFont="1" applyAlignment="1">
      <alignment horizontal="left"/>
    </xf>
    <xf numFmtId="2" fontId="10" fillId="0" borderId="0" xfId="1" applyNumberFormat="1" applyFont="1"/>
    <xf numFmtId="0" fontId="10" fillId="0" borderId="0" xfId="1" applyFont="1"/>
    <xf numFmtId="0" fontId="11" fillId="0" borderId="0" xfId="1" applyFont="1"/>
    <xf numFmtId="0" fontId="6" fillId="0" borderId="0" xfId="1" applyFont="1"/>
    <xf numFmtId="45" fontId="6" fillId="0" borderId="0" xfId="1" applyNumberFormat="1" applyFont="1" applyAlignment="1">
      <alignment horizontal="right"/>
    </xf>
    <xf numFmtId="20" fontId="10" fillId="0" borderId="0" xfId="1" applyNumberFormat="1" applyFont="1"/>
    <xf numFmtId="1" fontId="10" fillId="0" borderId="0" xfId="1" applyNumberFormat="1" applyFont="1"/>
    <xf numFmtId="0" fontId="9" fillId="0" borderId="0" xfId="1" applyFont="1"/>
    <xf numFmtId="0" fontId="4" fillId="0" borderId="8" xfId="1" applyFont="1" applyBorder="1"/>
    <xf numFmtId="0" fontId="11" fillId="0" borderId="8" xfId="1" applyFont="1" applyBorder="1"/>
    <xf numFmtId="0" fontId="4" fillId="0" borderId="0" xfId="1" applyFont="1" applyAlignment="1">
      <alignment horizontal="center"/>
    </xf>
    <xf numFmtId="20" fontId="4" fillId="0" borderId="0" xfId="1" applyNumberFormat="1" applyFont="1" applyAlignment="1">
      <alignment horizontal="center"/>
    </xf>
    <xf numFmtId="20" fontId="19" fillId="2" borderId="0" xfId="1" quotePrefix="1" applyNumberFormat="1" applyFont="1" applyFill="1" applyAlignment="1">
      <alignment horizontal="center"/>
    </xf>
    <xf numFmtId="20" fontId="20" fillId="2" borderId="0" xfId="1" applyNumberFormat="1" applyFont="1" applyFill="1"/>
    <xf numFmtId="20" fontId="5" fillId="0" borderId="0" xfId="1" applyNumberFormat="1" applyFont="1"/>
    <xf numFmtId="0" fontId="19" fillId="0" borderId="0" xfId="1" applyFont="1" applyAlignment="1">
      <alignment vertical="center"/>
    </xf>
    <xf numFmtId="0" fontId="6" fillId="0" borderId="8" xfId="1" applyFont="1" applyBorder="1" applyAlignment="1">
      <alignment horizontal="center"/>
    </xf>
    <xf numFmtId="20" fontId="6" fillId="0" borderId="8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Continuous" vertical="center"/>
    </xf>
    <xf numFmtId="0" fontId="3" fillId="0" borderId="3" xfId="1" applyFont="1" applyBorder="1" applyAlignment="1">
      <alignment horizontal="centerContinuous" vertical="center"/>
    </xf>
    <xf numFmtId="20" fontId="4" fillId="0" borderId="2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3" fillId="0" borderId="10" xfId="1" applyFont="1" applyBorder="1" applyAlignment="1">
      <alignment horizontal="center" vertical="center" wrapText="1"/>
    </xf>
  </cellXfs>
  <cellStyles count="23">
    <cellStyle name="CHUONG" xfId="2" xr:uid="{00000000-0005-0000-0000-000000000000}"/>
    <cellStyle name="Comma0" xfId="3" xr:uid="{00000000-0005-0000-0000-000001000000}"/>
    <cellStyle name="Currency0" xfId="4" xr:uid="{00000000-0005-0000-0000-000002000000}"/>
    <cellStyle name="Date" xfId="5" xr:uid="{00000000-0005-0000-0000-000003000000}"/>
    <cellStyle name="Fixed" xfId="6" xr:uid="{00000000-0005-0000-0000-000004000000}"/>
    <cellStyle name="Header1" xfId="7" xr:uid="{00000000-0005-0000-0000-000005000000}"/>
    <cellStyle name="Header2" xfId="8" xr:uid="{00000000-0005-0000-0000-000006000000}"/>
    <cellStyle name="ÑONVÒ" xfId="9" xr:uid="{00000000-0005-0000-0000-000007000000}"/>
    <cellStyle name="Normal" xfId="0" builtinId="0"/>
    <cellStyle name="Normal 2" xfId="10" xr:uid="{00000000-0005-0000-0000-000009000000}"/>
    <cellStyle name="Normal 4" xfId="11" xr:uid="{00000000-0005-0000-0000-00000A000000}"/>
    <cellStyle name="Normal_BDG BT - TTT,DS - CHT 2 2" xfId="1" xr:uid="{00000000-0005-0000-0000-00000B000000}"/>
    <cellStyle name="똿뗦먛귟 [0.00]_PRODUCT DETAIL Q1" xfId="12" xr:uid="{00000000-0005-0000-0000-00000C000000}"/>
    <cellStyle name="똿뗦먛귟_PRODUCT DETAIL Q1" xfId="13" xr:uid="{00000000-0005-0000-0000-00000D000000}"/>
    <cellStyle name="믅됞 [0.00]_PRODUCT DETAIL Q1" xfId="14" xr:uid="{00000000-0005-0000-0000-00000E000000}"/>
    <cellStyle name="믅됞_PRODUCT DETAIL Q1" xfId="15" xr:uid="{00000000-0005-0000-0000-00000F000000}"/>
    <cellStyle name="백분율_HOBONG" xfId="16" xr:uid="{00000000-0005-0000-0000-000010000000}"/>
    <cellStyle name="뷭?_BOOKSHIP" xfId="17" xr:uid="{00000000-0005-0000-0000-000011000000}"/>
    <cellStyle name="콤마 [0]_1202" xfId="18" xr:uid="{00000000-0005-0000-0000-000012000000}"/>
    <cellStyle name="콤마_1202" xfId="19" xr:uid="{00000000-0005-0000-0000-000013000000}"/>
    <cellStyle name="통화 [0]_1202" xfId="20" xr:uid="{00000000-0005-0000-0000-000014000000}"/>
    <cellStyle name="통화_1202" xfId="21" xr:uid="{00000000-0005-0000-0000-000015000000}"/>
    <cellStyle name="표준_(정보부문)월별인원계획" xfId="22" xr:uid="{00000000-0005-0000-0000-000016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zoomScaleNormal="100" workbookViewId="0">
      <selection activeCell="U3" sqref="U3"/>
    </sheetView>
  </sheetViews>
  <sheetFormatPr defaultColWidth="10.28515625" defaultRowHeight="15.75"/>
  <cols>
    <col min="1" max="1" width="8.140625" style="27" customWidth="1"/>
    <col min="2" max="2" width="20" style="27" customWidth="1"/>
    <col min="3" max="3" width="18.28515625" style="27" customWidth="1"/>
    <col min="4" max="5" width="7.42578125" style="27" hidden="1" customWidth="1"/>
    <col min="6" max="6" width="19" style="27" customWidth="1"/>
    <col min="7" max="7" width="19.85546875" style="27" customWidth="1"/>
    <col min="8" max="9" width="5.28515625" style="27" customWidth="1"/>
    <col min="10" max="13" width="5" style="27" customWidth="1"/>
    <col min="14" max="17" width="5.42578125" style="27" customWidth="1"/>
    <col min="18" max="19" width="5" style="27" customWidth="1"/>
    <col min="20" max="16384" width="10.28515625" style="27"/>
  </cols>
  <sheetData>
    <row r="1" spans="1:19" s="2" customFormat="1" ht="101.25" customHeight="1">
      <c r="A1" s="48" t="s">
        <v>21</v>
      </c>
      <c r="B1" s="48"/>
      <c r="C1" s="48"/>
      <c r="D1" s="48"/>
      <c r="E1" s="48"/>
      <c r="F1" s="48"/>
      <c r="G1" s="48"/>
      <c r="H1" s="1"/>
      <c r="I1" s="1"/>
      <c r="J1" s="1"/>
      <c r="K1" s="1"/>
    </row>
    <row r="2" spans="1:19" s="7" customFormat="1" ht="17.25" customHeight="1">
      <c r="A2" s="46" t="s">
        <v>0</v>
      </c>
      <c r="B2" s="3" t="s">
        <v>12</v>
      </c>
      <c r="C2" s="4"/>
      <c r="D2" s="5"/>
      <c r="E2" s="5"/>
      <c r="F2" s="3" t="s">
        <v>13</v>
      </c>
      <c r="G2" s="4"/>
      <c r="H2" s="6"/>
      <c r="I2" s="6" t="s">
        <v>18</v>
      </c>
      <c r="J2" s="6"/>
      <c r="K2" s="6"/>
    </row>
    <row r="3" spans="1:19" s="13" customFormat="1" ht="42" customHeight="1">
      <c r="A3" s="47"/>
      <c r="B3" s="8" t="s">
        <v>15</v>
      </c>
      <c r="C3" s="9" t="s">
        <v>11</v>
      </c>
      <c r="D3" s="10" t="s">
        <v>1</v>
      </c>
      <c r="E3" s="10" t="s">
        <v>1</v>
      </c>
      <c r="F3" s="9" t="s">
        <v>16</v>
      </c>
      <c r="G3" s="11" t="s">
        <v>17</v>
      </c>
      <c r="H3" s="37"/>
      <c r="I3" s="16">
        <v>3.4722222222222224E-2</v>
      </c>
      <c r="J3" s="12"/>
      <c r="K3" s="12"/>
    </row>
    <row r="4" spans="1:19" s="19" customFormat="1" ht="12.75" customHeight="1">
      <c r="A4" s="14">
        <v>1</v>
      </c>
      <c r="B4" s="15">
        <v>0.20833333333333334</v>
      </c>
      <c r="C4" s="15">
        <f>B4+$I$3</f>
        <v>0.24305555555555558</v>
      </c>
      <c r="D4" s="15"/>
      <c r="E4" s="15"/>
      <c r="F4" s="15">
        <v>0.20833333333333334</v>
      </c>
      <c r="G4" s="15">
        <f>F4+$I$3</f>
        <v>0.24305555555555558</v>
      </c>
      <c r="H4" s="38"/>
      <c r="I4" s="16">
        <v>3.8194444444444441E-2</v>
      </c>
      <c r="J4" s="15">
        <v>0.20833333333333334</v>
      </c>
      <c r="K4" s="15">
        <v>0.24305555555555558</v>
      </c>
      <c r="L4" s="15">
        <v>0.20833333333333334</v>
      </c>
      <c r="M4" s="15">
        <v>0.24305555555555558</v>
      </c>
      <c r="N4" s="18">
        <f t="shared" ref="N4:N31" si="0">J4-B4</f>
        <v>0</v>
      </c>
      <c r="O4" s="18">
        <f t="shared" ref="O4:O31" si="1">K4-C4</f>
        <v>0</v>
      </c>
      <c r="P4" s="18">
        <f t="shared" ref="P4:P31" si="2">L4-F4</f>
        <v>0</v>
      </c>
      <c r="Q4" s="18">
        <f t="shared" ref="Q4:Q31" si="3">M4-G4</f>
        <v>0</v>
      </c>
      <c r="R4" s="39">
        <f>C4-B4</f>
        <v>3.4722222222222238E-2</v>
      </c>
      <c r="S4" s="39">
        <f>G4-F4</f>
        <v>3.4722222222222238E-2</v>
      </c>
    </row>
    <row r="5" spans="1:19" s="19" customFormat="1" ht="12.75" customHeight="1">
      <c r="A5" s="14">
        <v>2</v>
      </c>
      <c r="B5" s="15">
        <v>0.22916666666666669</v>
      </c>
      <c r="C5" s="15">
        <f t="shared" ref="C5" si="4">B5+$I$3</f>
        <v>0.2638888888888889</v>
      </c>
      <c r="D5" s="15">
        <f>B5-B4</f>
        <v>2.0833333333333343E-2</v>
      </c>
      <c r="E5" s="15">
        <f>F5-F4</f>
        <v>2.0833333333333343E-2</v>
      </c>
      <c r="F5" s="15">
        <v>0.22916666666666669</v>
      </c>
      <c r="G5" s="15">
        <f t="shared" ref="G5" si="5">F5+$I$3</f>
        <v>0.2638888888888889</v>
      </c>
      <c r="H5" s="38"/>
      <c r="I5" s="17"/>
      <c r="J5" s="15">
        <v>0.22916666666666669</v>
      </c>
      <c r="K5" s="15">
        <v>0.2638888888888889</v>
      </c>
      <c r="L5" s="15">
        <v>0.22916666666666669</v>
      </c>
      <c r="M5" s="15">
        <v>0.2638888888888889</v>
      </c>
      <c r="N5" s="18">
        <f t="shared" si="0"/>
        <v>0</v>
      </c>
      <c r="O5" s="18">
        <f t="shared" si="1"/>
        <v>0</v>
      </c>
      <c r="P5" s="18">
        <f t="shared" si="2"/>
        <v>0</v>
      </c>
      <c r="Q5" s="18">
        <f t="shared" si="3"/>
        <v>0</v>
      </c>
      <c r="R5" s="39">
        <f t="shared" ref="R5:R32" si="6">C5-B5</f>
        <v>3.472222222222221E-2</v>
      </c>
      <c r="S5" s="39">
        <f t="shared" ref="S5:S32" si="7">G5-F5</f>
        <v>3.472222222222221E-2</v>
      </c>
    </row>
    <row r="6" spans="1:19" s="19" customFormat="1" ht="12.75" customHeight="1">
      <c r="A6" s="14">
        <v>3</v>
      </c>
      <c r="B6" s="15">
        <v>0.25</v>
      </c>
      <c r="C6" s="15">
        <f>B6+$I$4</f>
        <v>0.28819444444444442</v>
      </c>
      <c r="D6" s="15">
        <f t="shared" ref="D6:D30" si="8">B6-B5</f>
        <v>2.0833333333333315E-2</v>
      </c>
      <c r="E6" s="15">
        <f t="shared" ref="E6:E30" si="9">F6-F5</f>
        <v>2.0833333333333315E-2</v>
      </c>
      <c r="F6" s="15">
        <v>0.25</v>
      </c>
      <c r="G6" s="15">
        <f>F6+$I$4</f>
        <v>0.28819444444444442</v>
      </c>
      <c r="H6" s="16">
        <f>B6-G4</f>
        <v>6.9444444444444198E-3</v>
      </c>
      <c r="I6" s="16">
        <f>F6-C4</f>
        <v>6.9444444444444198E-3</v>
      </c>
      <c r="J6" s="15">
        <v>0.25</v>
      </c>
      <c r="K6" s="15">
        <v>0.28819444444444442</v>
      </c>
      <c r="L6" s="15">
        <v>0.25</v>
      </c>
      <c r="M6" s="15">
        <v>0.28819444444444442</v>
      </c>
      <c r="N6" s="18">
        <f t="shared" si="0"/>
        <v>0</v>
      </c>
      <c r="O6" s="18">
        <f t="shared" si="1"/>
        <v>0</v>
      </c>
      <c r="P6" s="18">
        <f t="shared" si="2"/>
        <v>0</v>
      </c>
      <c r="Q6" s="18">
        <f t="shared" si="3"/>
        <v>0</v>
      </c>
      <c r="R6" s="39">
        <f t="shared" si="6"/>
        <v>3.819444444444442E-2</v>
      </c>
      <c r="S6" s="39">
        <f t="shared" si="7"/>
        <v>3.819444444444442E-2</v>
      </c>
    </row>
    <row r="7" spans="1:19" s="19" customFormat="1" ht="12.75" customHeight="1">
      <c r="A7" s="14">
        <v>4</v>
      </c>
      <c r="B7" s="15">
        <v>0.27083333333333331</v>
      </c>
      <c r="C7" s="15">
        <f>B7+$I$4</f>
        <v>0.30902777777777773</v>
      </c>
      <c r="D7" s="15">
        <f t="shared" si="8"/>
        <v>2.0833333333333315E-2</v>
      </c>
      <c r="E7" s="15">
        <f t="shared" si="9"/>
        <v>2.0833333333333315E-2</v>
      </c>
      <c r="F7" s="15">
        <v>0.27083333333333331</v>
      </c>
      <c r="G7" s="15">
        <f>F7+$I$4</f>
        <v>0.30902777777777773</v>
      </c>
      <c r="H7" s="16">
        <f t="shared" ref="H7:H32" si="10">B7-G5</f>
        <v>6.9444444444444198E-3</v>
      </c>
      <c r="I7" s="16">
        <f t="shared" ref="I7:I32" si="11">F7-C5</f>
        <v>6.9444444444444198E-3</v>
      </c>
      <c r="J7" s="15">
        <v>0.27083333333333331</v>
      </c>
      <c r="K7" s="15">
        <v>0.30902777777777773</v>
      </c>
      <c r="L7" s="15">
        <v>0.27083333333333331</v>
      </c>
      <c r="M7" s="15">
        <v>0.30902777777777773</v>
      </c>
      <c r="N7" s="18">
        <f t="shared" si="0"/>
        <v>0</v>
      </c>
      <c r="O7" s="18">
        <f t="shared" si="1"/>
        <v>0</v>
      </c>
      <c r="P7" s="18">
        <f t="shared" si="2"/>
        <v>0</v>
      </c>
      <c r="Q7" s="18">
        <f t="shared" si="3"/>
        <v>0</v>
      </c>
      <c r="R7" s="39">
        <f t="shared" si="6"/>
        <v>3.819444444444442E-2</v>
      </c>
      <c r="S7" s="39">
        <f t="shared" si="7"/>
        <v>3.819444444444442E-2</v>
      </c>
    </row>
    <row r="8" spans="1:19" s="19" customFormat="1" ht="12.75" customHeight="1">
      <c r="A8" s="14">
        <v>5</v>
      </c>
      <c r="B8" s="15">
        <v>0.29166666666666663</v>
      </c>
      <c r="C8" s="15">
        <f>B8+$I$4</f>
        <v>0.32986111111111105</v>
      </c>
      <c r="D8" s="15">
        <f t="shared" si="8"/>
        <v>2.0833333333333315E-2</v>
      </c>
      <c r="E8" s="15">
        <f t="shared" si="9"/>
        <v>2.0833333333333315E-2</v>
      </c>
      <c r="F8" s="15">
        <v>0.29166666666666663</v>
      </c>
      <c r="G8" s="15">
        <f>F8+$I$4</f>
        <v>0.32986111111111105</v>
      </c>
      <c r="H8" s="16">
        <f t="shared" si="10"/>
        <v>3.4722222222222099E-3</v>
      </c>
      <c r="I8" s="16">
        <f t="shared" si="11"/>
        <v>3.4722222222222099E-3</v>
      </c>
      <c r="J8" s="15">
        <v>0.29166666666666663</v>
      </c>
      <c r="K8" s="15">
        <v>0.32986111111111105</v>
      </c>
      <c r="L8" s="15">
        <v>0.29166666666666663</v>
      </c>
      <c r="M8" s="15">
        <v>0.32986111111111105</v>
      </c>
      <c r="N8" s="18">
        <f t="shared" si="0"/>
        <v>0</v>
      </c>
      <c r="O8" s="18">
        <f t="shared" si="1"/>
        <v>0</v>
      </c>
      <c r="P8" s="18">
        <f t="shared" si="2"/>
        <v>0</v>
      </c>
      <c r="Q8" s="18">
        <f t="shared" si="3"/>
        <v>0</v>
      </c>
      <c r="R8" s="39">
        <f t="shared" si="6"/>
        <v>3.819444444444442E-2</v>
      </c>
      <c r="S8" s="39">
        <f t="shared" si="7"/>
        <v>3.819444444444442E-2</v>
      </c>
    </row>
    <row r="9" spans="1:19" s="19" customFormat="1" ht="12.75" customHeight="1">
      <c r="A9" s="14">
        <v>6</v>
      </c>
      <c r="B9" s="15">
        <v>0.31249999999999994</v>
      </c>
      <c r="C9" s="15">
        <f t="shared" ref="C9:C32" si="12">B9+$I$4</f>
        <v>0.35069444444444436</v>
      </c>
      <c r="D9" s="15">
        <f t="shared" si="8"/>
        <v>2.0833333333333315E-2</v>
      </c>
      <c r="E9" s="15">
        <f t="shared" si="9"/>
        <v>2.0833333333333315E-2</v>
      </c>
      <c r="F9" s="15">
        <v>0.31249999999999994</v>
      </c>
      <c r="G9" s="15">
        <f t="shared" ref="G9:G32" si="13">F9+$I$4</f>
        <v>0.35069444444444436</v>
      </c>
      <c r="H9" s="16">
        <f t="shared" si="10"/>
        <v>3.4722222222222099E-3</v>
      </c>
      <c r="I9" s="16">
        <f t="shared" si="11"/>
        <v>3.4722222222222099E-3</v>
      </c>
      <c r="J9" s="15">
        <v>0.31249999999999994</v>
      </c>
      <c r="K9" s="15">
        <v>0.35069444444444436</v>
      </c>
      <c r="L9" s="15">
        <v>0.31249999999999994</v>
      </c>
      <c r="M9" s="15">
        <v>0.35069444444444436</v>
      </c>
      <c r="N9" s="18">
        <f t="shared" si="0"/>
        <v>0</v>
      </c>
      <c r="O9" s="18">
        <f t="shared" si="1"/>
        <v>0</v>
      </c>
      <c r="P9" s="18">
        <f t="shared" si="2"/>
        <v>0</v>
      </c>
      <c r="Q9" s="18">
        <f t="shared" si="3"/>
        <v>0</v>
      </c>
      <c r="R9" s="39">
        <f t="shared" si="6"/>
        <v>3.819444444444442E-2</v>
      </c>
      <c r="S9" s="39">
        <f t="shared" si="7"/>
        <v>3.819444444444442E-2</v>
      </c>
    </row>
    <row r="10" spans="1:19" s="19" customFormat="1" ht="12.75" customHeight="1">
      <c r="A10" s="14">
        <v>7</v>
      </c>
      <c r="B10" s="15">
        <v>0.33333333333333326</v>
      </c>
      <c r="C10" s="15">
        <f t="shared" si="12"/>
        <v>0.37152777777777768</v>
      </c>
      <c r="D10" s="15">
        <f t="shared" si="8"/>
        <v>2.0833333333333315E-2</v>
      </c>
      <c r="E10" s="15">
        <f t="shared" si="9"/>
        <v>2.0833333333333315E-2</v>
      </c>
      <c r="F10" s="15">
        <v>0.33333333333333326</v>
      </c>
      <c r="G10" s="15">
        <f t="shared" si="13"/>
        <v>0.37152777777777768</v>
      </c>
      <c r="H10" s="16">
        <f t="shared" si="10"/>
        <v>3.4722222222222099E-3</v>
      </c>
      <c r="I10" s="16">
        <f t="shared" si="11"/>
        <v>3.4722222222222099E-3</v>
      </c>
      <c r="J10" s="15">
        <v>0.33333333333333326</v>
      </c>
      <c r="K10" s="15">
        <v>0.37152777777777768</v>
      </c>
      <c r="L10" s="15">
        <v>0.33333333333333326</v>
      </c>
      <c r="M10" s="15">
        <v>0.37152777777777768</v>
      </c>
      <c r="N10" s="18">
        <f t="shared" si="0"/>
        <v>0</v>
      </c>
      <c r="O10" s="18">
        <f t="shared" si="1"/>
        <v>0</v>
      </c>
      <c r="P10" s="18">
        <f t="shared" si="2"/>
        <v>0</v>
      </c>
      <c r="Q10" s="18">
        <f t="shared" si="3"/>
        <v>0</v>
      </c>
      <c r="R10" s="39">
        <f t="shared" si="6"/>
        <v>3.819444444444442E-2</v>
      </c>
      <c r="S10" s="39">
        <f t="shared" si="7"/>
        <v>3.819444444444442E-2</v>
      </c>
    </row>
    <row r="11" spans="1:19" s="19" customFormat="1" ht="12.75" customHeight="1">
      <c r="A11" s="14">
        <v>8</v>
      </c>
      <c r="B11" s="15">
        <v>0.35416666666666657</v>
      </c>
      <c r="C11" s="15">
        <f t="shared" si="12"/>
        <v>0.39236111111111099</v>
      </c>
      <c r="D11" s="15">
        <f t="shared" si="8"/>
        <v>2.0833333333333315E-2</v>
      </c>
      <c r="E11" s="15">
        <f t="shared" si="9"/>
        <v>2.0833333333333315E-2</v>
      </c>
      <c r="F11" s="15">
        <v>0.35416666666666657</v>
      </c>
      <c r="G11" s="15">
        <f t="shared" si="13"/>
        <v>0.39236111111111099</v>
      </c>
      <c r="H11" s="16">
        <f t="shared" si="10"/>
        <v>3.4722222222222099E-3</v>
      </c>
      <c r="I11" s="16">
        <f t="shared" si="11"/>
        <v>3.4722222222222099E-3</v>
      </c>
      <c r="J11" s="15">
        <v>0.35416666666666657</v>
      </c>
      <c r="K11" s="15">
        <v>0.39236111111111099</v>
      </c>
      <c r="L11" s="15">
        <v>0.35416666666666657</v>
      </c>
      <c r="M11" s="15">
        <v>0.39236111111111099</v>
      </c>
      <c r="N11" s="18">
        <f t="shared" si="0"/>
        <v>0</v>
      </c>
      <c r="O11" s="18">
        <f t="shared" si="1"/>
        <v>0</v>
      </c>
      <c r="P11" s="18">
        <f t="shared" si="2"/>
        <v>0</v>
      </c>
      <c r="Q11" s="18">
        <f t="shared" si="3"/>
        <v>0</v>
      </c>
      <c r="R11" s="39">
        <f t="shared" si="6"/>
        <v>3.819444444444442E-2</v>
      </c>
      <c r="S11" s="39">
        <f t="shared" si="7"/>
        <v>3.819444444444442E-2</v>
      </c>
    </row>
    <row r="12" spans="1:19" s="19" customFormat="1" ht="12.75" customHeight="1">
      <c r="A12" s="14">
        <v>9</v>
      </c>
      <c r="B12" s="15">
        <v>0.37499999999999989</v>
      </c>
      <c r="C12" s="15">
        <f t="shared" si="12"/>
        <v>0.41319444444444431</v>
      </c>
      <c r="D12" s="15">
        <f t="shared" si="8"/>
        <v>2.0833333333333315E-2</v>
      </c>
      <c r="E12" s="15">
        <f t="shared" si="9"/>
        <v>2.0833333333333315E-2</v>
      </c>
      <c r="F12" s="15">
        <v>0.37499999999999989</v>
      </c>
      <c r="G12" s="15">
        <f t="shared" si="13"/>
        <v>0.41319444444444431</v>
      </c>
      <c r="H12" s="16">
        <f t="shared" si="10"/>
        <v>3.4722222222222099E-3</v>
      </c>
      <c r="I12" s="16">
        <f t="shared" si="11"/>
        <v>3.4722222222222099E-3</v>
      </c>
      <c r="J12" s="15">
        <v>0.37499999999999989</v>
      </c>
      <c r="K12" s="15">
        <v>0.41319444444444431</v>
      </c>
      <c r="L12" s="15">
        <v>0.37499999999999989</v>
      </c>
      <c r="M12" s="15">
        <v>0.41319444444444431</v>
      </c>
      <c r="N12" s="18">
        <f t="shared" si="0"/>
        <v>0</v>
      </c>
      <c r="O12" s="18">
        <f t="shared" si="1"/>
        <v>0</v>
      </c>
      <c r="P12" s="18">
        <f t="shared" si="2"/>
        <v>0</v>
      </c>
      <c r="Q12" s="18">
        <f t="shared" si="3"/>
        <v>0</v>
      </c>
      <c r="R12" s="39">
        <f t="shared" si="6"/>
        <v>3.819444444444442E-2</v>
      </c>
      <c r="S12" s="39">
        <f t="shared" si="7"/>
        <v>3.819444444444442E-2</v>
      </c>
    </row>
    <row r="13" spans="1:19" s="19" customFormat="1" ht="12.75" customHeight="1">
      <c r="A13" s="14">
        <v>10</v>
      </c>
      <c r="B13" s="15">
        <v>0.3958333333333332</v>
      </c>
      <c r="C13" s="15">
        <f t="shared" si="12"/>
        <v>0.43402777777777762</v>
      </c>
      <c r="D13" s="15">
        <f t="shared" si="8"/>
        <v>2.0833333333333315E-2</v>
      </c>
      <c r="E13" s="15">
        <f t="shared" si="9"/>
        <v>2.0833333333333315E-2</v>
      </c>
      <c r="F13" s="15">
        <v>0.3958333333333332</v>
      </c>
      <c r="G13" s="15">
        <f t="shared" si="13"/>
        <v>0.43402777777777762</v>
      </c>
      <c r="H13" s="16">
        <f t="shared" si="10"/>
        <v>3.4722222222222099E-3</v>
      </c>
      <c r="I13" s="16">
        <f t="shared" si="11"/>
        <v>3.4722222222222099E-3</v>
      </c>
      <c r="J13" s="15">
        <v>0.3958333333333332</v>
      </c>
      <c r="K13" s="15">
        <v>0.43402777777777762</v>
      </c>
      <c r="L13" s="15">
        <v>0.3958333333333332</v>
      </c>
      <c r="M13" s="15">
        <v>0.43402777777777762</v>
      </c>
      <c r="N13" s="18">
        <f t="shared" si="0"/>
        <v>0</v>
      </c>
      <c r="O13" s="18">
        <f t="shared" si="1"/>
        <v>0</v>
      </c>
      <c r="P13" s="18">
        <f t="shared" si="2"/>
        <v>0</v>
      </c>
      <c r="Q13" s="18">
        <f t="shared" si="3"/>
        <v>0</v>
      </c>
      <c r="R13" s="39">
        <f t="shared" si="6"/>
        <v>3.819444444444442E-2</v>
      </c>
      <c r="S13" s="39">
        <f t="shared" si="7"/>
        <v>3.819444444444442E-2</v>
      </c>
    </row>
    <row r="14" spans="1:19" s="19" customFormat="1" ht="12.75" customHeight="1">
      <c r="A14" s="14">
        <v>11</v>
      </c>
      <c r="B14" s="15">
        <v>0.41666666666666652</v>
      </c>
      <c r="C14" s="15">
        <f t="shared" si="12"/>
        <v>0.45486111111111094</v>
      </c>
      <c r="D14" s="15">
        <f t="shared" si="8"/>
        <v>2.0833333333333315E-2</v>
      </c>
      <c r="E14" s="15">
        <f t="shared" si="9"/>
        <v>2.0833333333333315E-2</v>
      </c>
      <c r="F14" s="15">
        <v>0.41666666666666652</v>
      </c>
      <c r="G14" s="15">
        <f t="shared" si="13"/>
        <v>0.45486111111111094</v>
      </c>
      <c r="H14" s="16">
        <f t="shared" si="10"/>
        <v>3.4722222222222099E-3</v>
      </c>
      <c r="I14" s="16">
        <f t="shared" si="11"/>
        <v>3.4722222222222099E-3</v>
      </c>
      <c r="J14" s="15">
        <v>0.41666666666666652</v>
      </c>
      <c r="K14" s="15">
        <v>0.45486111111111094</v>
      </c>
      <c r="L14" s="15">
        <v>0.41666666666666652</v>
      </c>
      <c r="M14" s="15">
        <v>0.45486111111111094</v>
      </c>
      <c r="N14" s="18">
        <f t="shared" si="0"/>
        <v>0</v>
      </c>
      <c r="O14" s="18">
        <f t="shared" si="1"/>
        <v>0</v>
      </c>
      <c r="P14" s="18">
        <f t="shared" si="2"/>
        <v>0</v>
      </c>
      <c r="Q14" s="18">
        <f t="shared" si="3"/>
        <v>0</v>
      </c>
      <c r="R14" s="39">
        <f t="shared" si="6"/>
        <v>3.819444444444442E-2</v>
      </c>
      <c r="S14" s="39">
        <f t="shared" si="7"/>
        <v>3.819444444444442E-2</v>
      </c>
    </row>
    <row r="15" spans="1:19" s="19" customFormat="1" ht="12.75" customHeight="1">
      <c r="A15" s="14">
        <v>12</v>
      </c>
      <c r="B15" s="15">
        <v>0.43749999999999983</v>
      </c>
      <c r="C15" s="15">
        <f t="shared" si="12"/>
        <v>0.47569444444444425</v>
      </c>
      <c r="D15" s="15">
        <f t="shared" si="8"/>
        <v>2.0833333333333315E-2</v>
      </c>
      <c r="E15" s="15">
        <f t="shared" si="9"/>
        <v>2.0833333333333315E-2</v>
      </c>
      <c r="F15" s="15">
        <v>0.43749999999999983</v>
      </c>
      <c r="G15" s="15">
        <f t="shared" si="13"/>
        <v>0.47569444444444425</v>
      </c>
      <c r="H15" s="16">
        <f t="shared" si="10"/>
        <v>3.4722222222222099E-3</v>
      </c>
      <c r="I15" s="16">
        <f t="shared" si="11"/>
        <v>3.4722222222222099E-3</v>
      </c>
      <c r="J15" s="15">
        <v>0.43749999999999983</v>
      </c>
      <c r="K15" s="15">
        <v>0.47569444444444425</v>
      </c>
      <c r="L15" s="15">
        <v>0.43749999999999983</v>
      </c>
      <c r="M15" s="15">
        <v>0.47569444444444425</v>
      </c>
      <c r="N15" s="18">
        <f t="shared" si="0"/>
        <v>0</v>
      </c>
      <c r="O15" s="18">
        <f t="shared" si="1"/>
        <v>0</v>
      </c>
      <c r="P15" s="18">
        <f t="shared" si="2"/>
        <v>0</v>
      </c>
      <c r="Q15" s="18">
        <f t="shared" si="3"/>
        <v>0</v>
      </c>
      <c r="R15" s="39">
        <f t="shared" si="6"/>
        <v>3.819444444444442E-2</v>
      </c>
      <c r="S15" s="39">
        <f t="shared" si="7"/>
        <v>3.819444444444442E-2</v>
      </c>
    </row>
    <row r="16" spans="1:19" s="19" customFormat="1" ht="12.75" customHeight="1">
      <c r="A16" s="14">
        <v>13</v>
      </c>
      <c r="B16" s="15">
        <v>0.45833333333333315</v>
      </c>
      <c r="C16" s="15">
        <f t="shared" si="12"/>
        <v>0.49652777777777757</v>
      </c>
      <c r="D16" s="15">
        <f t="shared" si="8"/>
        <v>2.0833333333333315E-2</v>
      </c>
      <c r="E16" s="15">
        <f t="shared" si="9"/>
        <v>2.0833333333333315E-2</v>
      </c>
      <c r="F16" s="15">
        <v>0.45833333333333315</v>
      </c>
      <c r="G16" s="15">
        <f t="shared" si="13"/>
        <v>0.49652777777777757</v>
      </c>
      <c r="H16" s="16">
        <f t="shared" si="10"/>
        <v>3.4722222222222099E-3</v>
      </c>
      <c r="I16" s="16">
        <f t="shared" si="11"/>
        <v>3.4722222222222099E-3</v>
      </c>
      <c r="J16" s="15">
        <v>0.45833333333333315</v>
      </c>
      <c r="K16" s="15">
        <v>0.49652777777777757</v>
      </c>
      <c r="L16" s="15">
        <v>0.45833333333333315</v>
      </c>
      <c r="M16" s="15">
        <v>0.49652777777777757</v>
      </c>
      <c r="N16" s="18">
        <f t="shared" si="0"/>
        <v>0</v>
      </c>
      <c r="O16" s="18">
        <f t="shared" si="1"/>
        <v>0</v>
      </c>
      <c r="P16" s="18">
        <f t="shared" si="2"/>
        <v>0</v>
      </c>
      <c r="Q16" s="18">
        <f t="shared" si="3"/>
        <v>0</v>
      </c>
      <c r="R16" s="39">
        <f t="shared" si="6"/>
        <v>3.819444444444442E-2</v>
      </c>
      <c r="S16" s="39">
        <f t="shared" si="7"/>
        <v>3.819444444444442E-2</v>
      </c>
    </row>
    <row r="17" spans="1:19" s="19" customFormat="1" ht="12.75" customHeight="1">
      <c r="A17" s="14">
        <v>14</v>
      </c>
      <c r="B17" s="15">
        <v>0.47916666666666646</v>
      </c>
      <c r="C17" s="15">
        <f t="shared" si="12"/>
        <v>0.51736111111111094</v>
      </c>
      <c r="D17" s="15">
        <f t="shared" si="8"/>
        <v>2.0833333333333315E-2</v>
      </c>
      <c r="E17" s="15">
        <f t="shared" si="9"/>
        <v>2.0833333333333315E-2</v>
      </c>
      <c r="F17" s="15">
        <v>0.47916666666666646</v>
      </c>
      <c r="G17" s="15">
        <f t="shared" si="13"/>
        <v>0.51736111111111094</v>
      </c>
      <c r="H17" s="16">
        <f t="shared" si="10"/>
        <v>3.4722222222222099E-3</v>
      </c>
      <c r="I17" s="16">
        <f t="shared" si="11"/>
        <v>3.4722222222222099E-3</v>
      </c>
      <c r="J17" s="15">
        <v>0.47916666666666646</v>
      </c>
      <c r="K17" s="15">
        <v>0.51736111111111094</v>
      </c>
      <c r="L17" s="15">
        <v>0.47916666666666646</v>
      </c>
      <c r="M17" s="15">
        <v>0.51736111111111094</v>
      </c>
      <c r="N17" s="18">
        <f t="shared" si="0"/>
        <v>0</v>
      </c>
      <c r="O17" s="18">
        <f t="shared" si="1"/>
        <v>0</v>
      </c>
      <c r="P17" s="18">
        <f t="shared" si="2"/>
        <v>0</v>
      </c>
      <c r="Q17" s="18">
        <f t="shared" si="3"/>
        <v>0</v>
      </c>
      <c r="R17" s="39">
        <f t="shared" si="6"/>
        <v>3.8194444444444475E-2</v>
      </c>
      <c r="S17" s="39">
        <f t="shared" si="7"/>
        <v>3.8194444444444475E-2</v>
      </c>
    </row>
    <row r="18" spans="1:19" s="19" customFormat="1" ht="12.75" customHeight="1">
      <c r="A18" s="14">
        <v>15</v>
      </c>
      <c r="B18" s="15">
        <v>0.49999999999999978</v>
      </c>
      <c r="C18" s="15">
        <f t="shared" si="12"/>
        <v>0.5381944444444442</v>
      </c>
      <c r="D18" s="15">
        <f t="shared" si="8"/>
        <v>2.0833333333333315E-2</v>
      </c>
      <c r="E18" s="15">
        <f t="shared" si="9"/>
        <v>2.0833333333333315E-2</v>
      </c>
      <c r="F18" s="15">
        <v>0.49999999999999978</v>
      </c>
      <c r="G18" s="15">
        <f t="shared" si="13"/>
        <v>0.5381944444444442</v>
      </c>
      <c r="H18" s="16">
        <f t="shared" si="10"/>
        <v>3.4722222222222099E-3</v>
      </c>
      <c r="I18" s="16">
        <f t="shared" si="11"/>
        <v>3.4722222222222099E-3</v>
      </c>
      <c r="J18" s="15">
        <v>0.49999999999999978</v>
      </c>
      <c r="K18" s="15">
        <v>0.5381944444444442</v>
      </c>
      <c r="L18" s="15">
        <v>0.49999999999999978</v>
      </c>
      <c r="M18" s="15">
        <v>0.5381944444444442</v>
      </c>
      <c r="N18" s="18">
        <f t="shared" si="0"/>
        <v>0</v>
      </c>
      <c r="O18" s="18">
        <f t="shared" si="1"/>
        <v>0</v>
      </c>
      <c r="P18" s="18">
        <f t="shared" si="2"/>
        <v>0</v>
      </c>
      <c r="Q18" s="18">
        <f t="shared" si="3"/>
        <v>0</v>
      </c>
      <c r="R18" s="39">
        <f t="shared" si="6"/>
        <v>3.819444444444442E-2</v>
      </c>
      <c r="S18" s="39">
        <f t="shared" si="7"/>
        <v>3.819444444444442E-2</v>
      </c>
    </row>
    <row r="19" spans="1:19" s="19" customFormat="1" ht="12.75" customHeight="1">
      <c r="A19" s="14">
        <v>16</v>
      </c>
      <c r="B19" s="15">
        <v>0.52083333333333315</v>
      </c>
      <c r="C19" s="15">
        <f t="shared" si="12"/>
        <v>0.55902777777777757</v>
      </c>
      <c r="D19" s="15">
        <f t="shared" si="8"/>
        <v>2.083333333333337E-2</v>
      </c>
      <c r="E19" s="15">
        <f t="shared" si="9"/>
        <v>2.083333333333337E-2</v>
      </c>
      <c r="F19" s="15">
        <v>0.52083333333333315</v>
      </c>
      <c r="G19" s="15">
        <f t="shared" si="13"/>
        <v>0.55902777777777757</v>
      </c>
      <c r="H19" s="16">
        <f t="shared" si="10"/>
        <v>3.4722222222222099E-3</v>
      </c>
      <c r="I19" s="16">
        <f t="shared" si="11"/>
        <v>3.4722222222222099E-3</v>
      </c>
      <c r="J19" s="15">
        <v>0.52083333333333315</v>
      </c>
      <c r="K19" s="15">
        <v>0.55902777777777757</v>
      </c>
      <c r="L19" s="15">
        <v>0.52083333333333315</v>
      </c>
      <c r="M19" s="15">
        <v>0.55902777777777757</v>
      </c>
      <c r="N19" s="18">
        <f t="shared" si="0"/>
        <v>0</v>
      </c>
      <c r="O19" s="18">
        <f t="shared" si="1"/>
        <v>0</v>
      </c>
      <c r="P19" s="18">
        <f t="shared" si="2"/>
        <v>0</v>
      </c>
      <c r="Q19" s="18">
        <f t="shared" si="3"/>
        <v>0</v>
      </c>
      <c r="R19" s="39">
        <f t="shared" si="6"/>
        <v>3.819444444444442E-2</v>
      </c>
      <c r="S19" s="39">
        <f t="shared" si="7"/>
        <v>3.819444444444442E-2</v>
      </c>
    </row>
    <row r="20" spans="1:19" s="19" customFormat="1" ht="12.75" customHeight="1">
      <c r="A20" s="14">
        <v>17</v>
      </c>
      <c r="B20" s="15">
        <v>0.54166666666666652</v>
      </c>
      <c r="C20" s="15">
        <f t="shared" si="12"/>
        <v>0.57986111111111094</v>
      </c>
      <c r="D20" s="15">
        <f t="shared" si="8"/>
        <v>2.083333333333337E-2</v>
      </c>
      <c r="E20" s="15">
        <f t="shared" si="9"/>
        <v>2.083333333333337E-2</v>
      </c>
      <c r="F20" s="15">
        <v>0.54166666666666652</v>
      </c>
      <c r="G20" s="15">
        <f t="shared" si="13"/>
        <v>0.57986111111111094</v>
      </c>
      <c r="H20" s="16">
        <f t="shared" si="10"/>
        <v>3.4722222222223209E-3</v>
      </c>
      <c r="I20" s="16">
        <f t="shared" si="11"/>
        <v>3.4722222222223209E-3</v>
      </c>
      <c r="J20" s="15">
        <v>0.54166666666666652</v>
      </c>
      <c r="K20" s="15">
        <v>0.57986111111111094</v>
      </c>
      <c r="L20" s="15">
        <v>0.54166666666666652</v>
      </c>
      <c r="M20" s="15">
        <v>0.57986111111111094</v>
      </c>
      <c r="N20" s="18">
        <f t="shared" si="0"/>
        <v>0</v>
      </c>
      <c r="O20" s="18">
        <f t="shared" si="1"/>
        <v>0</v>
      </c>
      <c r="P20" s="18">
        <f t="shared" si="2"/>
        <v>0</v>
      </c>
      <c r="Q20" s="18">
        <f t="shared" si="3"/>
        <v>0</v>
      </c>
      <c r="R20" s="39">
        <f t="shared" si="6"/>
        <v>3.819444444444442E-2</v>
      </c>
      <c r="S20" s="39">
        <f t="shared" si="7"/>
        <v>3.819444444444442E-2</v>
      </c>
    </row>
    <row r="21" spans="1:19" s="19" customFormat="1" ht="12.75" customHeight="1">
      <c r="A21" s="14">
        <v>18</v>
      </c>
      <c r="B21" s="15">
        <v>0.56249999999999989</v>
      </c>
      <c r="C21" s="15">
        <f t="shared" si="12"/>
        <v>0.60069444444444431</v>
      </c>
      <c r="D21" s="15">
        <f t="shared" si="8"/>
        <v>2.083333333333337E-2</v>
      </c>
      <c r="E21" s="15">
        <f t="shared" si="9"/>
        <v>2.083333333333337E-2</v>
      </c>
      <c r="F21" s="15">
        <v>0.56249999999999989</v>
      </c>
      <c r="G21" s="15">
        <f t="shared" si="13"/>
        <v>0.60069444444444431</v>
      </c>
      <c r="H21" s="16">
        <f t="shared" si="10"/>
        <v>3.4722222222223209E-3</v>
      </c>
      <c r="I21" s="16">
        <f t="shared" si="11"/>
        <v>3.4722222222223209E-3</v>
      </c>
      <c r="J21" s="15">
        <v>0.56249999999999989</v>
      </c>
      <c r="K21" s="15">
        <v>0.60069444444444431</v>
      </c>
      <c r="L21" s="15">
        <v>0.56249999999999989</v>
      </c>
      <c r="M21" s="15">
        <v>0.60069444444444431</v>
      </c>
      <c r="N21" s="18">
        <f t="shared" si="0"/>
        <v>0</v>
      </c>
      <c r="O21" s="18">
        <f t="shared" si="1"/>
        <v>0</v>
      </c>
      <c r="P21" s="18">
        <f t="shared" si="2"/>
        <v>0</v>
      </c>
      <c r="Q21" s="18">
        <f t="shared" si="3"/>
        <v>0</v>
      </c>
      <c r="R21" s="39">
        <f t="shared" si="6"/>
        <v>3.819444444444442E-2</v>
      </c>
      <c r="S21" s="39">
        <f t="shared" si="7"/>
        <v>3.819444444444442E-2</v>
      </c>
    </row>
    <row r="22" spans="1:19" s="19" customFormat="1" ht="12.75" customHeight="1">
      <c r="A22" s="14">
        <v>19</v>
      </c>
      <c r="B22" s="15">
        <v>0.58333333333333326</v>
      </c>
      <c r="C22" s="15">
        <f t="shared" si="12"/>
        <v>0.62152777777777768</v>
      </c>
      <c r="D22" s="15">
        <f t="shared" si="8"/>
        <v>2.083333333333337E-2</v>
      </c>
      <c r="E22" s="15">
        <f t="shared" si="9"/>
        <v>2.083333333333337E-2</v>
      </c>
      <c r="F22" s="15">
        <v>0.58333333333333326</v>
      </c>
      <c r="G22" s="15">
        <f t="shared" si="13"/>
        <v>0.62152777777777768</v>
      </c>
      <c r="H22" s="16">
        <f t="shared" si="10"/>
        <v>3.4722222222223209E-3</v>
      </c>
      <c r="I22" s="16">
        <f t="shared" si="11"/>
        <v>3.4722222222223209E-3</v>
      </c>
      <c r="J22" s="15">
        <v>0.58333333333333326</v>
      </c>
      <c r="K22" s="15">
        <v>0.62152777777777768</v>
      </c>
      <c r="L22" s="15">
        <v>0.58333333333333326</v>
      </c>
      <c r="M22" s="15">
        <v>0.62152777777777768</v>
      </c>
      <c r="N22" s="18">
        <f t="shared" si="0"/>
        <v>0</v>
      </c>
      <c r="O22" s="18">
        <f t="shared" si="1"/>
        <v>0</v>
      </c>
      <c r="P22" s="18">
        <f t="shared" si="2"/>
        <v>0</v>
      </c>
      <c r="Q22" s="18">
        <f t="shared" si="3"/>
        <v>0</v>
      </c>
      <c r="R22" s="39">
        <f t="shared" si="6"/>
        <v>3.819444444444442E-2</v>
      </c>
      <c r="S22" s="39">
        <f t="shared" si="7"/>
        <v>3.819444444444442E-2</v>
      </c>
    </row>
    <row r="23" spans="1:19" s="19" customFormat="1" ht="12.75" customHeight="1">
      <c r="A23" s="14">
        <v>20</v>
      </c>
      <c r="B23" s="15">
        <v>0.60416666666666663</v>
      </c>
      <c r="C23" s="15">
        <f t="shared" si="12"/>
        <v>0.64236111111111105</v>
      </c>
      <c r="D23" s="15">
        <f t="shared" si="8"/>
        <v>2.083333333333337E-2</v>
      </c>
      <c r="E23" s="15">
        <f t="shared" si="9"/>
        <v>2.083333333333337E-2</v>
      </c>
      <c r="F23" s="15">
        <v>0.60416666666666663</v>
      </c>
      <c r="G23" s="15">
        <f t="shared" si="13"/>
        <v>0.64236111111111105</v>
      </c>
      <c r="H23" s="16">
        <f t="shared" si="10"/>
        <v>3.4722222222223209E-3</v>
      </c>
      <c r="I23" s="16">
        <f t="shared" si="11"/>
        <v>3.4722222222223209E-3</v>
      </c>
      <c r="J23" s="15">
        <v>0.60416666666666663</v>
      </c>
      <c r="K23" s="15">
        <v>0.64236111111111105</v>
      </c>
      <c r="L23" s="15">
        <v>0.60416666666666663</v>
      </c>
      <c r="M23" s="15">
        <v>0.64236111111111105</v>
      </c>
      <c r="N23" s="18">
        <f t="shared" si="0"/>
        <v>0</v>
      </c>
      <c r="O23" s="18">
        <f t="shared" si="1"/>
        <v>0</v>
      </c>
      <c r="P23" s="18">
        <f t="shared" si="2"/>
        <v>0</v>
      </c>
      <c r="Q23" s="18">
        <f t="shared" si="3"/>
        <v>0</v>
      </c>
      <c r="R23" s="39">
        <f t="shared" si="6"/>
        <v>3.819444444444442E-2</v>
      </c>
      <c r="S23" s="39">
        <f t="shared" si="7"/>
        <v>3.819444444444442E-2</v>
      </c>
    </row>
    <row r="24" spans="1:19" s="19" customFormat="1" ht="12.75" customHeight="1">
      <c r="A24" s="14">
        <v>21</v>
      </c>
      <c r="B24" s="15">
        <v>0.625</v>
      </c>
      <c r="C24" s="15">
        <f t="shared" si="12"/>
        <v>0.66319444444444442</v>
      </c>
      <c r="D24" s="15">
        <f t="shared" si="8"/>
        <v>2.083333333333337E-2</v>
      </c>
      <c r="E24" s="15">
        <f t="shared" si="9"/>
        <v>2.083333333333337E-2</v>
      </c>
      <c r="F24" s="15">
        <v>0.625</v>
      </c>
      <c r="G24" s="15">
        <f t="shared" si="13"/>
        <v>0.66319444444444442</v>
      </c>
      <c r="H24" s="16">
        <f t="shared" si="10"/>
        <v>3.4722222222223209E-3</v>
      </c>
      <c r="I24" s="16">
        <f t="shared" si="11"/>
        <v>3.4722222222223209E-3</v>
      </c>
      <c r="J24" s="15">
        <v>0.625</v>
      </c>
      <c r="K24" s="15">
        <v>0.66319444444444442</v>
      </c>
      <c r="L24" s="15">
        <v>0.625</v>
      </c>
      <c r="M24" s="15">
        <v>0.66319444444444442</v>
      </c>
      <c r="N24" s="18">
        <f t="shared" si="0"/>
        <v>0</v>
      </c>
      <c r="O24" s="18">
        <f t="shared" si="1"/>
        <v>0</v>
      </c>
      <c r="P24" s="18">
        <f t="shared" si="2"/>
        <v>0</v>
      </c>
      <c r="Q24" s="18">
        <f t="shared" si="3"/>
        <v>0</v>
      </c>
      <c r="R24" s="39">
        <f t="shared" si="6"/>
        <v>3.819444444444442E-2</v>
      </c>
      <c r="S24" s="39">
        <f t="shared" si="7"/>
        <v>3.819444444444442E-2</v>
      </c>
    </row>
    <row r="25" spans="1:19" s="19" customFormat="1" ht="12.75" customHeight="1">
      <c r="A25" s="14">
        <v>22</v>
      </c>
      <c r="B25" s="15">
        <v>0.64583333333333337</v>
      </c>
      <c r="C25" s="15">
        <f t="shared" si="12"/>
        <v>0.68402777777777779</v>
      </c>
      <c r="D25" s="15">
        <f t="shared" si="8"/>
        <v>2.083333333333337E-2</v>
      </c>
      <c r="E25" s="15">
        <f t="shared" si="9"/>
        <v>2.083333333333337E-2</v>
      </c>
      <c r="F25" s="15">
        <v>0.64583333333333337</v>
      </c>
      <c r="G25" s="15">
        <f t="shared" si="13"/>
        <v>0.68402777777777779</v>
      </c>
      <c r="H25" s="16">
        <f t="shared" si="10"/>
        <v>3.4722222222223209E-3</v>
      </c>
      <c r="I25" s="16">
        <f t="shared" si="11"/>
        <v>3.4722222222223209E-3</v>
      </c>
      <c r="J25" s="15">
        <v>0.64583333333333337</v>
      </c>
      <c r="K25" s="15">
        <v>0.68402777777777779</v>
      </c>
      <c r="L25" s="15">
        <v>0.64583333333333337</v>
      </c>
      <c r="M25" s="15">
        <v>0.68402777777777779</v>
      </c>
      <c r="N25" s="18">
        <f t="shared" si="0"/>
        <v>0</v>
      </c>
      <c r="O25" s="18">
        <f t="shared" si="1"/>
        <v>0</v>
      </c>
      <c r="P25" s="18">
        <f t="shared" si="2"/>
        <v>0</v>
      </c>
      <c r="Q25" s="18">
        <f t="shared" si="3"/>
        <v>0</v>
      </c>
      <c r="R25" s="39">
        <f t="shared" si="6"/>
        <v>3.819444444444442E-2</v>
      </c>
      <c r="S25" s="39">
        <f t="shared" si="7"/>
        <v>3.819444444444442E-2</v>
      </c>
    </row>
    <row r="26" spans="1:19" s="19" customFormat="1" ht="12.75" customHeight="1">
      <c r="A26" s="14">
        <v>23</v>
      </c>
      <c r="B26" s="15">
        <v>0.66666666666666674</v>
      </c>
      <c r="C26" s="15">
        <f t="shared" si="12"/>
        <v>0.70486111111111116</v>
      </c>
      <c r="D26" s="15">
        <f t="shared" si="8"/>
        <v>2.083333333333337E-2</v>
      </c>
      <c r="E26" s="15">
        <f t="shared" si="9"/>
        <v>2.083333333333337E-2</v>
      </c>
      <c r="F26" s="15">
        <v>0.66666666666666674</v>
      </c>
      <c r="G26" s="15">
        <f t="shared" si="13"/>
        <v>0.70486111111111116</v>
      </c>
      <c r="H26" s="16">
        <f t="shared" si="10"/>
        <v>3.4722222222223209E-3</v>
      </c>
      <c r="I26" s="16">
        <f t="shared" si="11"/>
        <v>3.4722222222223209E-3</v>
      </c>
      <c r="J26" s="15">
        <v>0.66666666666666674</v>
      </c>
      <c r="K26" s="15">
        <v>0.70486111111111116</v>
      </c>
      <c r="L26" s="15">
        <v>0.66666666666666674</v>
      </c>
      <c r="M26" s="15">
        <v>0.70486111111111116</v>
      </c>
      <c r="N26" s="18">
        <f t="shared" si="0"/>
        <v>0</v>
      </c>
      <c r="O26" s="18">
        <f t="shared" si="1"/>
        <v>0</v>
      </c>
      <c r="P26" s="18">
        <f t="shared" si="2"/>
        <v>0</v>
      </c>
      <c r="Q26" s="18">
        <f t="shared" si="3"/>
        <v>0</v>
      </c>
      <c r="R26" s="39">
        <f t="shared" si="6"/>
        <v>3.819444444444442E-2</v>
      </c>
      <c r="S26" s="39">
        <f t="shared" si="7"/>
        <v>3.819444444444442E-2</v>
      </c>
    </row>
    <row r="27" spans="1:19" s="19" customFormat="1" ht="12.75" customHeight="1">
      <c r="A27" s="14">
        <v>24</v>
      </c>
      <c r="B27" s="15">
        <v>0.68750000000000011</v>
      </c>
      <c r="C27" s="15">
        <f t="shared" si="12"/>
        <v>0.72569444444444453</v>
      </c>
      <c r="D27" s="15">
        <f t="shared" si="8"/>
        <v>2.083333333333337E-2</v>
      </c>
      <c r="E27" s="15">
        <f t="shared" si="9"/>
        <v>2.083333333333337E-2</v>
      </c>
      <c r="F27" s="15">
        <v>0.68750000000000011</v>
      </c>
      <c r="G27" s="15">
        <f t="shared" si="13"/>
        <v>0.72569444444444453</v>
      </c>
      <c r="H27" s="16">
        <f t="shared" si="10"/>
        <v>3.4722222222223209E-3</v>
      </c>
      <c r="I27" s="16">
        <f t="shared" si="11"/>
        <v>3.4722222222223209E-3</v>
      </c>
      <c r="J27" s="15">
        <v>0.68750000000000011</v>
      </c>
      <c r="K27" s="15">
        <v>0.72569444444444453</v>
      </c>
      <c r="L27" s="15">
        <v>0.68750000000000011</v>
      </c>
      <c r="M27" s="15">
        <v>0.72569444444444453</v>
      </c>
      <c r="N27" s="18">
        <f t="shared" si="0"/>
        <v>0</v>
      </c>
      <c r="O27" s="18">
        <f t="shared" si="1"/>
        <v>0</v>
      </c>
      <c r="P27" s="18">
        <f t="shared" si="2"/>
        <v>0</v>
      </c>
      <c r="Q27" s="18">
        <f t="shared" si="3"/>
        <v>0</v>
      </c>
      <c r="R27" s="39">
        <f t="shared" si="6"/>
        <v>3.819444444444442E-2</v>
      </c>
      <c r="S27" s="39">
        <f t="shared" si="7"/>
        <v>3.819444444444442E-2</v>
      </c>
    </row>
    <row r="28" spans="1:19" s="19" customFormat="1" ht="12.75" customHeight="1">
      <c r="A28" s="14">
        <v>25</v>
      </c>
      <c r="B28" s="15">
        <v>0.70833333333333348</v>
      </c>
      <c r="C28" s="15">
        <f t="shared" si="12"/>
        <v>0.7465277777777779</v>
      </c>
      <c r="D28" s="15">
        <f t="shared" si="8"/>
        <v>2.083333333333337E-2</v>
      </c>
      <c r="E28" s="15">
        <f t="shared" si="9"/>
        <v>2.083333333333337E-2</v>
      </c>
      <c r="F28" s="15">
        <v>0.70833333333333348</v>
      </c>
      <c r="G28" s="15">
        <f t="shared" si="13"/>
        <v>0.7465277777777779</v>
      </c>
      <c r="H28" s="16">
        <f t="shared" si="10"/>
        <v>3.4722222222223209E-3</v>
      </c>
      <c r="I28" s="16">
        <f t="shared" si="11"/>
        <v>3.4722222222223209E-3</v>
      </c>
      <c r="J28" s="15">
        <v>0.70833333333333348</v>
      </c>
      <c r="K28" s="15">
        <v>0.7465277777777779</v>
      </c>
      <c r="L28" s="15">
        <v>0.70833333333333348</v>
      </c>
      <c r="M28" s="15">
        <v>0.7465277777777779</v>
      </c>
      <c r="N28" s="18">
        <f t="shared" si="0"/>
        <v>0</v>
      </c>
      <c r="O28" s="18">
        <f t="shared" si="1"/>
        <v>0</v>
      </c>
      <c r="P28" s="18">
        <f t="shared" si="2"/>
        <v>0</v>
      </c>
      <c r="Q28" s="18">
        <f t="shared" si="3"/>
        <v>0</v>
      </c>
      <c r="R28" s="39">
        <f t="shared" si="6"/>
        <v>3.819444444444442E-2</v>
      </c>
      <c r="S28" s="39">
        <f t="shared" si="7"/>
        <v>3.819444444444442E-2</v>
      </c>
    </row>
    <row r="29" spans="1:19" s="19" customFormat="1" ht="12.75" customHeight="1">
      <c r="A29" s="14">
        <v>26</v>
      </c>
      <c r="B29" s="15">
        <v>0.72916666666666685</v>
      </c>
      <c r="C29" s="15">
        <f t="shared" si="12"/>
        <v>0.76736111111111127</v>
      </c>
      <c r="D29" s="15">
        <f t="shared" si="8"/>
        <v>2.083333333333337E-2</v>
      </c>
      <c r="E29" s="15">
        <f t="shared" si="9"/>
        <v>2.083333333333337E-2</v>
      </c>
      <c r="F29" s="15">
        <v>0.72916666666666685</v>
      </c>
      <c r="G29" s="15">
        <f t="shared" si="13"/>
        <v>0.76736111111111127</v>
      </c>
      <c r="H29" s="16">
        <f t="shared" si="10"/>
        <v>3.4722222222223209E-3</v>
      </c>
      <c r="I29" s="16">
        <f t="shared" si="11"/>
        <v>3.4722222222223209E-3</v>
      </c>
      <c r="J29" s="15">
        <v>0.72916666666666685</v>
      </c>
      <c r="K29" s="15">
        <v>0.76736111111111127</v>
      </c>
      <c r="L29" s="15">
        <v>0.72916666666666685</v>
      </c>
      <c r="M29" s="15">
        <v>0.76736111111111127</v>
      </c>
      <c r="N29" s="18">
        <f t="shared" si="0"/>
        <v>0</v>
      </c>
      <c r="O29" s="18">
        <f t="shared" si="1"/>
        <v>0</v>
      </c>
      <c r="P29" s="18">
        <f t="shared" si="2"/>
        <v>0</v>
      </c>
      <c r="Q29" s="18">
        <f t="shared" si="3"/>
        <v>0</v>
      </c>
      <c r="R29" s="39">
        <f t="shared" si="6"/>
        <v>3.819444444444442E-2</v>
      </c>
      <c r="S29" s="39">
        <f t="shared" si="7"/>
        <v>3.819444444444442E-2</v>
      </c>
    </row>
    <row r="30" spans="1:19" s="19" customFormat="1" ht="12.75" customHeight="1">
      <c r="A30" s="14">
        <v>27</v>
      </c>
      <c r="B30" s="15">
        <v>0.75000000000000022</v>
      </c>
      <c r="C30" s="15">
        <f t="shared" si="12"/>
        <v>0.78819444444444464</v>
      </c>
      <c r="D30" s="15">
        <f t="shared" si="8"/>
        <v>2.083333333333337E-2</v>
      </c>
      <c r="E30" s="15">
        <f t="shared" si="9"/>
        <v>2.083333333333337E-2</v>
      </c>
      <c r="F30" s="15">
        <v>0.75000000000000022</v>
      </c>
      <c r="G30" s="15">
        <f t="shared" si="13"/>
        <v>0.78819444444444464</v>
      </c>
      <c r="H30" s="16">
        <f t="shared" si="10"/>
        <v>3.4722222222223209E-3</v>
      </c>
      <c r="I30" s="16">
        <f t="shared" si="11"/>
        <v>3.4722222222223209E-3</v>
      </c>
      <c r="J30" s="15">
        <v>0.75000000000000022</v>
      </c>
      <c r="K30" s="15">
        <v>0.78819444444444464</v>
      </c>
      <c r="L30" s="15">
        <v>0.75000000000000022</v>
      </c>
      <c r="M30" s="15">
        <v>0.78819444444444464</v>
      </c>
      <c r="N30" s="18">
        <f t="shared" si="0"/>
        <v>0</v>
      </c>
      <c r="O30" s="18">
        <f t="shared" si="1"/>
        <v>0</v>
      </c>
      <c r="P30" s="18">
        <f t="shared" si="2"/>
        <v>0</v>
      </c>
      <c r="Q30" s="18">
        <f t="shared" si="3"/>
        <v>0</v>
      </c>
      <c r="R30" s="39">
        <f t="shared" si="6"/>
        <v>3.819444444444442E-2</v>
      </c>
      <c r="S30" s="39">
        <f t="shared" si="7"/>
        <v>3.819444444444442E-2</v>
      </c>
    </row>
    <row r="31" spans="1:19" s="19" customFormat="1" ht="12.75" customHeight="1">
      <c r="A31" s="14">
        <v>28</v>
      </c>
      <c r="B31" s="15">
        <v>0.77083333333333359</v>
      </c>
      <c r="C31" s="15">
        <f t="shared" si="12"/>
        <v>0.80902777777777801</v>
      </c>
      <c r="D31" s="15">
        <f t="shared" ref="D31:D32" si="14">B31-B30</f>
        <v>2.083333333333337E-2</v>
      </c>
      <c r="E31" s="15">
        <f t="shared" ref="E31:E32" si="15">F31-F30</f>
        <v>2.083333333333337E-2</v>
      </c>
      <c r="F31" s="15">
        <v>0.77083333333333359</v>
      </c>
      <c r="G31" s="15">
        <f t="shared" si="13"/>
        <v>0.80902777777777801</v>
      </c>
      <c r="H31" s="16">
        <f t="shared" si="10"/>
        <v>3.4722222222223209E-3</v>
      </c>
      <c r="I31" s="16">
        <f t="shared" si="11"/>
        <v>3.4722222222223209E-3</v>
      </c>
      <c r="J31" s="15">
        <v>0.77083333333333359</v>
      </c>
      <c r="K31" s="15">
        <v>0.80902777777777801</v>
      </c>
      <c r="L31" s="15">
        <v>0.77083333333333359</v>
      </c>
      <c r="M31" s="15">
        <v>0.80902777777777801</v>
      </c>
      <c r="N31" s="18">
        <f t="shared" si="0"/>
        <v>0</v>
      </c>
      <c r="O31" s="18">
        <f t="shared" si="1"/>
        <v>0</v>
      </c>
      <c r="P31" s="18">
        <f t="shared" si="2"/>
        <v>0</v>
      </c>
      <c r="Q31" s="18">
        <f t="shared" si="3"/>
        <v>0</v>
      </c>
      <c r="R31" s="39">
        <f t="shared" si="6"/>
        <v>3.819444444444442E-2</v>
      </c>
      <c r="S31" s="39">
        <f t="shared" si="7"/>
        <v>3.819444444444442E-2</v>
      </c>
    </row>
    <row r="32" spans="1:19" s="19" customFormat="1" ht="12.75" customHeight="1">
      <c r="A32" s="14">
        <v>29</v>
      </c>
      <c r="B32" s="15">
        <v>0.79166666666666696</v>
      </c>
      <c r="C32" s="15">
        <f t="shared" si="12"/>
        <v>0.82986111111111138</v>
      </c>
      <c r="D32" s="15">
        <f t="shared" si="14"/>
        <v>2.083333333333337E-2</v>
      </c>
      <c r="E32" s="15">
        <f t="shared" si="15"/>
        <v>2.083333333333337E-2</v>
      </c>
      <c r="F32" s="15">
        <v>0.79166666666666696</v>
      </c>
      <c r="G32" s="15">
        <f t="shared" si="13"/>
        <v>0.82986111111111138</v>
      </c>
      <c r="H32" s="16">
        <f t="shared" si="10"/>
        <v>3.4722222222223209E-3</v>
      </c>
      <c r="I32" s="16">
        <f t="shared" si="11"/>
        <v>3.4722222222223209E-3</v>
      </c>
      <c r="J32" s="15">
        <v>0.79166666666666696</v>
      </c>
      <c r="K32" s="15">
        <v>0.82986111111111138</v>
      </c>
      <c r="L32" s="15">
        <v>0.79166666666666696</v>
      </c>
      <c r="M32" s="15">
        <v>0.82986111111111138</v>
      </c>
      <c r="N32" s="18">
        <f t="shared" ref="N32" si="16">J32-B32</f>
        <v>0</v>
      </c>
      <c r="O32" s="18">
        <f t="shared" ref="O32" si="17">K32-C32</f>
        <v>0</v>
      </c>
      <c r="P32" s="18">
        <f t="shared" ref="P32" si="18">L32-F32</f>
        <v>0</v>
      </c>
      <c r="Q32" s="18">
        <f t="shared" ref="Q32" si="19">M32-G32</f>
        <v>0</v>
      </c>
      <c r="R32" s="39">
        <f t="shared" si="6"/>
        <v>3.819444444444442E-2</v>
      </c>
      <c r="S32" s="39">
        <f t="shared" si="7"/>
        <v>3.819444444444442E-2</v>
      </c>
    </row>
    <row r="33" spans="1:17" s="19" customFormat="1" ht="12.75" customHeight="1">
      <c r="A33" s="35"/>
      <c r="B33" s="36"/>
      <c r="C33" s="36"/>
      <c r="D33" s="36"/>
      <c r="E33" s="36"/>
      <c r="F33" s="36"/>
      <c r="G33" s="36"/>
      <c r="H33" s="16"/>
      <c r="I33" s="16"/>
      <c r="J33" s="36"/>
      <c r="K33" s="36"/>
      <c r="L33" s="36"/>
      <c r="M33" s="36"/>
      <c r="N33" s="16"/>
      <c r="O33" s="16"/>
      <c r="P33" s="16"/>
      <c r="Q33" s="16"/>
    </row>
    <row r="34" spans="1:17" ht="16.5" customHeight="1">
      <c r="A34" s="17"/>
      <c r="B34" s="20" t="s">
        <v>2</v>
      </c>
      <c r="C34" s="21">
        <f>A32*2</f>
        <v>58</v>
      </c>
      <c r="D34" s="22"/>
      <c r="E34" s="23"/>
      <c r="F34" s="24" t="s">
        <v>3</v>
      </c>
      <c r="G34" s="25"/>
      <c r="H34" s="17"/>
      <c r="I34" s="16"/>
      <c r="J34" s="17"/>
      <c r="K34" s="17"/>
    </row>
    <row r="35" spans="1:17" ht="17.25" customHeight="1">
      <c r="A35" s="17"/>
      <c r="B35" s="28" t="s">
        <v>4</v>
      </c>
      <c r="C35" s="21" t="s">
        <v>14</v>
      </c>
      <c r="D35" s="17"/>
      <c r="E35" s="25"/>
      <c r="F35" s="28" t="s">
        <v>5</v>
      </c>
      <c r="G35" s="26"/>
      <c r="H35" s="17"/>
      <c r="I35" s="16"/>
      <c r="J35" s="17"/>
      <c r="K35" s="17"/>
    </row>
    <row r="36" spans="1:17" ht="17.25" customHeight="1">
      <c r="A36" s="17"/>
      <c r="B36" s="28" t="s">
        <v>6</v>
      </c>
      <c r="C36" s="29"/>
      <c r="D36" s="17"/>
      <c r="E36" s="30"/>
      <c r="F36" s="28"/>
      <c r="G36" s="26"/>
      <c r="H36" s="17"/>
      <c r="I36" s="16"/>
      <c r="J36" s="17"/>
      <c r="K36" s="17"/>
    </row>
    <row r="37" spans="1:17" ht="17.25" customHeight="1">
      <c r="A37" s="17"/>
      <c r="B37" s="28" t="s">
        <v>7</v>
      </c>
      <c r="C37" s="21">
        <f>HOUR(MIN(D5:E32))*60+MINUTE(MIN(D5:E32))</f>
        <v>30</v>
      </c>
      <c r="D37" s="17"/>
      <c r="E37" s="31"/>
      <c r="F37" s="28" t="s">
        <v>5</v>
      </c>
      <c r="G37" s="26"/>
      <c r="H37" s="17"/>
      <c r="I37" s="16"/>
      <c r="J37" s="17"/>
      <c r="K37" s="17"/>
    </row>
    <row r="38" spans="1:17" ht="17.25" customHeight="1">
      <c r="A38" s="17"/>
      <c r="B38" s="28" t="s">
        <v>8</v>
      </c>
      <c r="C38" s="21">
        <f>HOUR(MAX(D5:E32))*60+MINUTE(MAX(D5:E32))</f>
        <v>30</v>
      </c>
      <c r="D38" s="17"/>
      <c r="E38" s="26"/>
      <c r="F38" s="28" t="s">
        <v>5</v>
      </c>
      <c r="G38" s="26"/>
      <c r="H38" s="17"/>
      <c r="I38" s="16"/>
      <c r="J38" s="17"/>
      <c r="K38" s="17"/>
    </row>
    <row r="39" spans="1:17">
      <c r="A39" s="17"/>
      <c r="B39" s="17"/>
      <c r="C39" s="17"/>
      <c r="D39" s="17"/>
      <c r="E39" s="32"/>
      <c r="F39" s="17"/>
      <c r="G39" s="26"/>
      <c r="H39" s="17"/>
      <c r="I39" s="17"/>
      <c r="J39" s="17"/>
      <c r="K39" s="17"/>
    </row>
    <row r="40" spans="1:17" hidden="1">
      <c r="A40" s="33" t="s">
        <v>9</v>
      </c>
      <c r="B40" s="33"/>
      <c r="C40" s="33"/>
      <c r="D40" s="33"/>
      <c r="E40" s="33"/>
      <c r="F40" s="17"/>
      <c r="G40" s="26"/>
      <c r="H40" s="17"/>
      <c r="I40" s="17"/>
      <c r="J40" s="17"/>
      <c r="K40" s="17"/>
    </row>
    <row r="41" spans="1:17" hidden="1">
      <c r="A41" s="34" t="s">
        <v>10</v>
      </c>
      <c r="B41" s="34"/>
      <c r="C41" s="34"/>
      <c r="D41" s="34"/>
      <c r="E41" s="34"/>
    </row>
  </sheetData>
  <autoFilter ref="A1:S32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2">
    <mergeCell ref="A2:A3"/>
    <mergeCell ref="A1:G1"/>
  </mergeCells>
  <conditionalFormatting sqref="H4:I32">
    <cfRule type="cellIs" dxfId="6" priority="1" operator="lessThan">
      <formula>0.00277777777777778</formula>
    </cfRule>
  </conditionalFormatting>
  <pageMargins left="0.70866141732283505" right="0.70866141732283505" top="0.57999999999999996" bottom="0.74803149606299202" header="0.31496062992126" footer="0.31496062992126"/>
  <pageSetup paperSize="9" firstPageNumber="4" fitToWidth="0" orientation="portrait" useFirstPageNumber="1" r:id="rId1"/>
  <headerFooter alignWithMargins="0">
    <oddHeader>&amp;C&amp;P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zoomScaleNormal="100" workbookViewId="0">
      <selection activeCell="U3" sqref="U3"/>
    </sheetView>
  </sheetViews>
  <sheetFormatPr defaultColWidth="10.28515625" defaultRowHeight="15.75"/>
  <cols>
    <col min="1" max="1" width="8.140625" style="27" customWidth="1"/>
    <col min="2" max="2" width="20" style="27" customWidth="1"/>
    <col min="3" max="3" width="18.28515625" style="27" customWidth="1"/>
    <col min="4" max="5" width="7.42578125" style="27" hidden="1" customWidth="1"/>
    <col min="6" max="6" width="19" style="27" customWidth="1"/>
    <col min="7" max="7" width="19.85546875" style="27" customWidth="1"/>
    <col min="8" max="9" width="5.28515625" style="27" customWidth="1"/>
    <col min="10" max="13" width="5" style="27" customWidth="1"/>
    <col min="14" max="17" width="5.42578125" style="27" customWidth="1"/>
    <col min="18" max="19" width="5" style="27" customWidth="1"/>
    <col min="20" max="16384" width="10.28515625" style="27"/>
  </cols>
  <sheetData>
    <row r="1" spans="1:19" s="2" customFormat="1" ht="101.25" customHeight="1">
      <c r="A1" s="48" t="s">
        <v>19</v>
      </c>
      <c r="B1" s="48"/>
      <c r="C1" s="48"/>
      <c r="D1" s="48"/>
      <c r="E1" s="48"/>
      <c r="F1" s="48"/>
      <c r="G1" s="48"/>
      <c r="H1" s="1"/>
      <c r="I1" s="1"/>
      <c r="J1" s="1"/>
      <c r="K1" s="1"/>
    </row>
    <row r="2" spans="1:19" s="7" customFormat="1" ht="17.25" customHeight="1">
      <c r="A2" s="46" t="s">
        <v>0</v>
      </c>
      <c r="B2" s="3" t="s">
        <v>12</v>
      </c>
      <c r="C2" s="4"/>
      <c r="D2" s="5"/>
      <c r="E2" s="5"/>
      <c r="F2" s="3" t="s">
        <v>13</v>
      </c>
      <c r="G2" s="4"/>
      <c r="H2" s="6"/>
      <c r="I2" s="6" t="s">
        <v>18</v>
      </c>
      <c r="J2" s="6"/>
      <c r="K2" s="6"/>
    </row>
    <row r="3" spans="1:19" s="13" customFormat="1" ht="42" customHeight="1">
      <c r="A3" s="47"/>
      <c r="B3" s="8" t="s">
        <v>15</v>
      </c>
      <c r="C3" s="9" t="s">
        <v>11</v>
      </c>
      <c r="D3" s="10" t="s">
        <v>1</v>
      </c>
      <c r="E3" s="10" t="s">
        <v>1</v>
      </c>
      <c r="F3" s="9" t="s">
        <v>16</v>
      </c>
      <c r="G3" s="11" t="s">
        <v>17</v>
      </c>
      <c r="H3" s="37"/>
      <c r="I3" s="16">
        <v>3.4722222222222224E-2</v>
      </c>
      <c r="J3" s="12"/>
      <c r="K3" s="12"/>
    </row>
    <row r="4" spans="1:19" s="19" customFormat="1" ht="12.75" customHeight="1">
      <c r="A4" s="14">
        <v>1</v>
      </c>
      <c r="B4" s="15">
        <v>0.20833333333333334</v>
      </c>
      <c r="C4" s="15">
        <f>B4+$I$3</f>
        <v>0.24305555555555558</v>
      </c>
      <c r="D4" s="15"/>
      <c r="E4" s="15"/>
      <c r="F4" s="15">
        <v>0.20833333333333334</v>
      </c>
      <c r="G4" s="15">
        <f>F4+$I$3</f>
        <v>0.24305555555555558</v>
      </c>
      <c r="H4" s="38"/>
      <c r="I4" s="16"/>
      <c r="J4" s="15">
        <v>0.20833333333333334</v>
      </c>
      <c r="K4" s="15">
        <v>0.24305555555555558</v>
      </c>
      <c r="L4" s="15">
        <v>0.20833333333333334</v>
      </c>
      <c r="M4" s="15">
        <v>0.24305555555555558</v>
      </c>
      <c r="N4" s="18">
        <f t="shared" ref="N4:O17" si="0">J4-B4</f>
        <v>0</v>
      </c>
      <c r="O4" s="18">
        <f t="shared" si="0"/>
        <v>0</v>
      </c>
      <c r="P4" s="18">
        <f t="shared" ref="P4:Q17" si="1">L4-F4</f>
        <v>0</v>
      </c>
      <c r="Q4" s="18">
        <f t="shared" si="1"/>
        <v>0</v>
      </c>
      <c r="R4" s="39">
        <f>C4-B4</f>
        <v>3.4722222222222238E-2</v>
      </c>
      <c r="S4" s="39">
        <f>G4-F4</f>
        <v>3.4722222222222238E-2</v>
      </c>
    </row>
    <row r="5" spans="1:19" s="19" customFormat="1" ht="12.75" customHeight="1">
      <c r="A5" s="14">
        <v>2</v>
      </c>
      <c r="B5" s="15">
        <v>0.22916666666666669</v>
      </c>
      <c r="C5" s="15">
        <f t="shared" ref="C5:C18" si="2">B5+$I$3</f>
        <v>0.2638888888888889</v>
      </c>
      <c r="D5" s="15">
        <f>B5-B4</f>
        <v>2.0833333333333343E-2</v>
      </c>
      <c r="E5" s="15">
        <f>F5-F4</f>
        <v>2.0833333333333343E-2</v>
      </c>
      <c r="F5" s="15">
        <v>0.22916666666666669</v>
      </c>
      <c r="G5" s="15">
        <f t="shared" ref="G5:G18" si="3">F5+$I$3</f>
        <v>0.2638888888888889</v>
      </c>
      <c r="H5" s="38"/>
      <c r="I5" s="17"/>
      <c r="J5" s="15">
        <v>0.22916666666666669</v>
      </c>
      <c r="K5" s="15">
        <v>0.2638888888888889</v>
      </c>
      <c r="L5" s="15">
        <v>0.22916666666666669</v>
      </c>
      <c r="M5" s="15">
        <v>0.2638888888888889</v>
      </c>
      <c r="N5" s="18">
        <f t="shared" si="0"/>
        <v>0</v>
      </c>
      <c r="O5" s="18">
        <f t="shared" si="0"/>
        <v>0</v>
      </c>
      <c r="P5" s="18">
        <f t="shared" si="1"/>
        <v>0</v>
      </c>
      <c r="Q5" s="18">
        <f t="shared" si="1"/>
        <v>0</v>
      </c>
      <c r="R5" s="39">
        <f t="shared" ref="R5:R18" si="4">C5-B5</f>
        <v>3.472222222222221E-2</v>
      </c>
      <c r="S5" s="39">
        <f t="shared" ref="S5:S18" si="5">G5-F5</f>
        <v>3.472222222222221E-2</v>
      </c>
    </row>
    <row r="6" spans="1:19" s="19" customFormat="1" ht="12.75" customHeight="1">
      <c r="A6" s="14">
        <v>3</v>
      </c>
      <c r="B6" s="15">
        <v>0.25</v>
      </c>
      <c r="C6" s="15">
        <f t="shared" si="2"/>
        <v>0.28472222222222221</v>
      </c>
      <c r="D6" s="15">
        <f t="shared" ref="D6:D16" si="6">B6-B5</f>
        <v>2.0833333333333315E-2</v>
      </c>
      <c r="E6" s="15">
        <f t="shared" ref="E6:E16" si="7">F6-F5</f>
        <v>2.0833333333333315E-2</v>
      </c>
      <c r="F6" s="15">
        <v>0.25</v>
      </c>
      <c r="G6" s="15">
        <f t="shared" si="3"/>
        <v>0.28472222222222221</v>
      </c>
      <c r="H6" s="16">
        <f>B6-G4</f>
        <v>6.9444444444444198E-3</v>
      </c>
      <c r="I6" s="16">
        <f>F6-C4</f>
        <v>6.9444444444444198E-3</v>
      </c>
      <c r="J6" s="15">
        <v>0.25</v>
      </c>
      <c r="K6" s="15">
        <v>0.28472222222222221</v>
      </c>
      <c r="L6" s="15">
        <v>0.25</v>
      </c>
      <c r="M6" s="15">
        <v>0.28472222222222221</v>
      </c>
      <c r="N6" s="18">
        <f t="shared" si="0"/>
        <v>0</v>
      </c>
      <c r="O6" s="18">
        <f t="shared" si="0"/>
        <v>0</v>
      </c>
      <c r="P6" s="18">
        <f t="shared" si="1"/>
        <v>0</v>
      </c>
      <c r="Q6" s="18">
        <f t="shared" si="1"/>
        <v>0</v>
      </c>
      <c r="R6" s="39">
        <f t="shared" si="4"/>
        <v>3.472222222222221E-2</v>
      </c>
      <c r="S6" s="39">
        <f t="shared" si="5"/>
        <v>3.472222222222221E-2</v>
      </c>
    </row>
    <row r="7" spans="1:19" s="19" customFormat="1" ht="12.75" customHeight="1">
      <c r="A7" s="14">
        <v>4</v>
      </c>
      <c r="B7" s="15">
        <v>0.27083333333333331</v>
      </c>
      <c r="C7" s="15">
        <f t="shared" si="2"/>
        <v>0.30555555555555552</v>
      </c>
      <c r="D7" s="15">
        <f t="shared" si="6"/>
        <v>2.0833333333333315E-2</v>
      </c>
      <c r="E7" s="15">
        <f t="shared" si="7"/>
        <v>2.0833333333333315E-2</v>
      </c>
      <c r="F7" s="15">
        <v>0.27083333333333331</v>
      </c>
      <c r="G7" s="15">
        <f t="shared" si="3"/>
        <v>0.30555555555555552</v>
      </c>
      <c r="H7" s="16">
        <f t="shared" ref="H7:H18" si="8">B7-G5</f>
        <v>6.9444444444444198E-3</v>
      </c>
      <c r="I7" s="16">
        <f t="shared" ref="I7:I18" si="9">F7-C5</f>
        <v>6.9444444444444198E-3</v>
      </c>
      <c r="J7" s="15">
        <v>0.27083333333333331</v>
      </c>
      <c r="K7" s="15">
        <v>0.30555555555555552</v>
      </c>
      <c r="L7" s="15">
        <v>0.27083333333333331</v>
      </c>
      <c r="M7" s="15">
        <v>0.30555555555555552</v>
      </c>
      <c r="N7" s="18">
        <f t="shared" si="0"/>
        <v>0</v>
      </c>
      <c r="O7" s="18">
        <f t="shared" si="0"/>
        <v>0</v>
      </c>
      <c r="P7" s="18">
        <f t="shared" si="1"/>
        <v>0</v>
      </c>
      <c r="Q7" s="18">
        <f t="shared" si="1"/>
        <v>0</v>
      </c>
      <c r="R7" s="39">
        <f t="shared" si="4"/>
        <v>3.472222222222221E-2</v>
      </c>
      <c r="S7" s="39">
        <f t="shared" si="5"/>
        <v>3.472222222222221E-2</v>
      </c>
    </row>
    <row r="8" spans="1:19" s="19" customFormat="1" ht="12.75" customHeight="1">
      <c r="A8" s="14">
        <v>5</v>
      </c>
      <c r="B8" s="15">
        <v>0.29166666666666663</v>
      </c>
      <c r="C8" s="15">
        <f t="shared" si="2"/>
        <v>0.32638888888888884</v>
      </c>
      <c r="D8" s="15">
        <f t="shared" si="6"/>
        <v>2.0833333333333315E-2</v>
      </c>
      <c r="E8" s="15">
        <f t="shared" si="7"/>
        <v>2.0833333333333315E-2</v>
      </c>
      <c r="F8" s="15">
        <v>0.29166666666666663</v>
      </c>
      <c r="G8" s="15">
        <f t="shared" si="3"/>
        <v>0.32638888888888884</v>
      </c>
      <c r="H8" s="16">
        <f t="shared" si="8"/>
        <v>6.9444444444444198E-3</v>
      </c>
      <c r="I8" s="16">
        <f t="shared" si="9"/>
        <v>6.9444444444444198E-3</v>
      </c>
      <c r="J8" s="15">
        <v>0.29166666666666663</v>
      </c>
      <c r="K8" s="15">
        <v>0.32638888888888884</v>
      </c>
      <c r="L8" s="15">
        <v>0.29166666666666663</v>
      </c>
      <c r="M8" s="15">
        <v>0.32638888888888884</v>
      </c>
      <c r="N8" s="18">
        <f t="shared" si="0"/>
        <v>0</v>
      </c>
      <c r="O8" s="18">
        <f t="shared" si="0"/>
        <v>0</v>
      </c>
      <c r="P8" s="18">
        <f t="shared" si="1"/>
        <v>0</v>
      </c>
      <c r="Q8" s="18">
        <f t="shared" si="1"/>
        <v>0</v>
      </c>
      <c r="R8" s="39">
        <f t="shared" si="4"/>
        <v>3.472222222222221E-2</v>
      </c>
      <c r="S8" s="39">
        <f t="shared" si="5"/>
        <v>3.472222222222221E-2</v>
      </c>
    </row>
    <row r="9" spans="1:19" s="19" customFormat="1" ht="12.75" customHeight="1">
      <c r="A9" s="14">
        <v>6</v>
      </c>
      <c r="B9" s="15">
        <v>0.31249999999999994</v>
      </c>
      <c r="C9" s="15">
        <f t="shared" si="2"/>
        <v>0.34722222222222215</v>
      </c>
      <c r="D9" s="15">
        <f t="shared" si="6"/>
        <v>2.0833333333333315E-2</v>
      </c>
      <c r="E9" s="15">
        <f t="shared" si="7"/>
        <v>2.0833333333333315E-2</v>
      </c>
      <c r="F9" s="15">
        <v>0.31249999999999994</v>
      </c>
      <c r="G9" s="15">
        <f t="shared" si="3"/>
        <v>0.34722222222222215</v>
      </c>
      <c r="H9" s="16">
        <f t="shared" si="8"/>
        <v>6.9444444444444198E-3</v>
      </c>
      <c r="I9" s="16">
        <f t="shared" si="9"/>
        <v>6.9444444444444198E-3</v>
      </c>
      <c r="J9" s="15">
        <v>0.31249999999999994</v>
      </c>
      <c r="K9" s="15">
        <v>0.34722222222222215</v>
      </c>
      <c r="L9" s="15">
        <v>0.31249999999999994</v>
      </c>
      <c r="M9" s="15">
        <v>0.34722222222222215</v>
      </c>
      <c r="N9" s="18">
        <f t="shared" si="0"/>
        <v>0</v>
      </c>
      <c r="O9" s="18">
        <f t="shared" si="0"/>
        <v>0</v>
      </c>
      <c r="P9" s="18">
        <f t="shared" si="1"/>
        <v>0</v>
      </c>
      <c r="Q9" s="18">
        <f t="shared" si="1"/>
        <v>0</v>
      </c>
      <c r="R9" s="39">
        <f t="shared" si="4"/>
        <v>3.472222222222221E-2</v>
      </c>
      <c r="S9" s="39">
        <f t="shared" si="5"/>
        <v>3.472222222222221E-2</v>
      </c>
    </row>
    <row r="10" spans="1:19" s="19" customFormat="1" ht="12.75" customHeight="1">
      <c r="A10" s="14">
        <v>7</v>
      </c>
      <c r="B10" s="15">
        <v>0.33333333333333326</v>
      </c>
      <c r="C10" s="15">
        <f t="shared" si="2"/>
        <v>0.36805555555555547</v>
      </c>
      <c r="D10" s="15">
        <f t="shared" si="6"/>
        <v>2.0833333333333315E-2</v>
      </c>
      <c r="E10" s="15">
        <f t="shared" si="7"/>
        <v>2.0833333333333315E-2</v>
      </c>
      <c r="F10" s="15">
        <v>0.33333333333333326</v>
      </c>
      <c r="G10" s="15">
        <f t="shared" si="3"/>
        <v>0.36805555555555547</v>
      </c>
      <c r="H10" s="16">
        <f t="shared" si="8"/>
        <v>6.9444444444444198E-3</v>
      </c>
      <c r="I10" s="16">
        <f t="shared" si="9"/>
        <v>6.9444444444444198E-3</v>
      </c>
      <c r="J10" s="15">
        <v>0.33333333333333326</v>
      </c>
      <c r="K10" s="15">
        <v>0.36805555555555547</v>
      </c>
      <c r="L10" s="15">
        <v>0.33333333333333326</v>
      </c>
      <c r="M10" s="15">
        <v>0.36805555555555547</v>
      </c>
      <c r="N10" s="18">
        <f t="shared" si="0"/>
        <v>0</v>
      </c>
      <c r="O10" s="18">
        <f t="shared" si="0"/>
        <v>0</v>
      </c>
      <c r="P10" s="18">
        <f t="shared" si="1"/>
        <v>0</v>
      </c>
      <c r="Q10" s="18">
        <f t="shared" si="1"/>
        <v>0</v>
      </c>
      <c r="R10" s="39">
        <f t="shared" si="4"/>
        <v>3.472222222222221E-2</v>
      </c>
      <c r="S10" s="39">
        <f t="shared" si="5"/>
        <v>3.472222222222221E-2</v>
      </c>
    </row>
    <row r="11" spans="1:19" s="19" customFormat="1" ht="12.75" customHeight="1">
      <c r="A11" s="14">
        <v>8</v>
      </c>
      <c r="B11" s="15">
        <v>0.35416666666666657</v>
      </c>
      <c r="C11" s="15">
        <f t="shared" si="2"/>
        <v>0.38888888888888878</v>
      </c>
      <c r="D11" s="15">
        <f t="shared" si="6"/>
        <v>2.0833333333333315E-2</v>
      </c>
      <c r="E11" s="15">
        <f t="shared" si="7"/>
        <v>2.0833333333333315E-2</v>
      </c>
      <c r="F11" s="15">
        <v>0.35416666666666657</v>
      </c>
      <c r="G11" s="15">
        <f t="shared" si="3"/>
        <v>0.38888888888888878</v>
      </c>
      <c r="H11" s="16">
        <f t="shared" si="8"/>
        <v>6.9444444444444198E-3</v>
      </c>
      <c r="I11" s="16">
        <f t="shared" si="9"/>
        <v>6.9444444444444198E-3</v>
      </c>
      <c r="J11" s="15">
        <v>0.35416666666666657</v>
      </c>
      <c r="K11" s="15">
        <v>0.38888888888888878</v>
      </c>
      <c r="L11" s="15">
        <v>0.35416666666666657</v>
      </c>
      <c r="M11" s="15">
        <v>0.38888888888888878</v>
      </c>
      <c r="N11" s="18">
        <f t="shared" si="0"/>
        <v>0</v>
      </c>
      <c r="O11" s="18">
        <f t="shared" si="0"/>
        <v>0</v>
      </c>
      <c r="P11" s="18">
        <f t="shared" si="1"/>
        <v>0</v>
      </c>
      <c r="Q11" s="18">
        <f t="shared" si="1"/>
        <v>0</v>
      </c>
      <c r="R11" s="39">
        <f t="shared" si="4"/>
        <v>3.472222222222221E-2</v>
      </c>
      <c r="S11" s="39">
        <f t="shared" si="5"/>
        <v>3.472222222222221E-2</v>
      </c>
    </row>
    <row r="12" spans="1:19" s="19" customFormat="1" ht="12.75" customHeight="1">
      <c r="A12" s="14">
        <v>9</v>
      </c>
      <c r="B12" s="15">
        <v>0.37499999999999989</v>
      </c>
      <c r="C12" s="15">
        <f t="shared" si="2"/>
        <v>0.4097222222222221</v>
      </c>
      <c r="D12" s="15">
        <f t="shared" si="6"/>
        <v>2.0833333333333315E-2</v>
      </c>
      <c r="E12" s="15">
        <f t="shared" si="7"/>
        <v>2.0833333333333315E-2</v>
      </c>
      <c r="F12" s="15">
        <v>0.37499999999999989</v>
      </c>
      <c r="G12" s="15">
        <f t="shared" si="3"/>
        <v>0.4097222222222221</v>
      </c>
      <c r="H12" s="16">
        <f t="shared" si="8"/>
        <v>6.9444444444444198E-3</v>
      </c>
      <c r="I12" s="16">
        <f t="shared" si="9"/>
        <v>6.9444444444444198E-3</v>
      </c>
      <c r="J12" s="15">
        <v>0.37499999999999989</v>
      </c>
      <c r="K12" s="15">
        <v>0.4097222222222221</v>
      </c>
      <c r="L12" s="15">
        <v>0.37499999999999989</v>
      </c>
      <c r="M12" s="15">
        <v>0.4097222222222221</v>
      </c>
      <c r="N12" s="18">
        <f t="shared" si="0"/>
        <v>0</v>
      </c>
      <c r="O12" s="18">
        <f t="shared" si="0"/>
        <v>0</v>
      </c>
      <c r="P12" s="18">
        <f t="shared" si="1"/>
        <v>0</v>
      </c>
      <c r="Q12" s="18">
        <f t="shared" si="1"/>
        <v>0</v>
      </c>
      <c r="R12" s="39">
        <f t="shared" si="4"/>
        <v>3.472222222222221E-2</v>
      </c>
      <c r="S12" s="39">
        <f t="shared" si="5"/>
        <v>3.472222222222221E-2</v>
      </c>
    </row>
    <row r="13" spans="1:19" s="19" customFormat="1" ht="12.75" customHeight="1">
      <c r="A13" s="14">
        <v>10</v>
      </c>
      <c r="B13" s="15">
        <v>0.3958333333333332</v>
      </c>
      <c r="C13" s="15">
        <f t="shared" si="2"/>
        <v>0.43055555555555541</v>
      </c>
      <c r="D13" s="15">
        <f t="shared" si="6"/>
        <v>2.0833333333333315E-2</v>
      </c>
      <c r="E13" s="15">
        <f t="shared" si="7"/>
        <v>2.0833333333333315E-2</v>
      </c>
      <c r="F13" s="15">
        <v>0.3958333333333332</v>
      </c>
      <c r="G13" s="15">
        <f t="shared" si="3"/>
        <v>0.43055555555555541</v>
      </c>
      <c r="H13" s="16">
        <f t="shared" si="8"/>
        <v>6.9444444444444198E-3</v>
      </c>
      <c r="I13" s="16">
        <f t="shared" si="9"/>
        <v>6.9444444444444198E-3</v>
      </c>
      <c r="J13" s="15">
        <v>0.3958333333333332</v>
      </c>
      <c r="K13" s="15">
        <v>0.43055555555555541</v>
      </c>
      <c r="L13" s="15">
        <v>0.3958333333333332</v>
      </c>
      <c r="M13" s="15">
        <v>0.43055555555555541</v>
      </c>
      <c r="N13" s="18">
        <f t="shared" si="0"/>
        <v>0</v>
      </c>
      <c r="O13" s="18">
        <f t="shared" si="0"/>
        <v>0</v>
      </c>
      <c r="P13" s="18">
        <f t="shared" si="1"/>
        <v>0</v>
      </c>
      <c r="Q13" s="18">
        <f t="shared" si="1"/>
        <v>0</v>
      </c>
      <c r="R13" s="39">
        <f t="shared" si="4"/>
        <v>3.472222222222221E-2</v>
      </c>
      <c r="S13" s="39">
        <f t="shared" si="5"/>
        <v>3.472222222222221E-2</v>
      </c>
    </row>
    <row r="14" spans="1:19" s="19" customFormat="1" ht="12.75" customHeight="1">
      <c r="A14" s="14">
        <v>11</v>
      </c>
      <c r="B14" s="15">
        <v>0.41666666666666652</v>
      </c>
      <c r="C14" s="15">
        <f t="shared" si="2"/>
        <v>0.45138888888888873</v>
      </c>
      <c r="D14" s="15">
        <f t="shared" si="6"/>
        <v>2.0833333333333315E-2</v>
      </c>
      <c r="E14" s="15">
        <f t="shared" si="7"/>
        <v>2.0833333333333315E-2</v>
      </c>
      <c r="F14" s="15">
        <v>0.41666666666666652</v>
      </c>
      <c r="G14" s="15">
        <f t="shared" si="3"/>
        <v>0.45138888888888873</v>
      </c>
      <c r="H14" s="16">
        <f t="shared" si="8"/>
        <v>6.9444444444444198E-3</v>
      </c>
      <c r="I14" s="16">
        <f t="shared" si="9"/>
        <v>6.9444444444444198E-3</v>
      </c>
      <c r="J14" s="15">
        <v>0.41666666666666652</v>
      </c>
      <c r="K14" s="15">
        <v>0.45138888888888873</v>
      </c>
      <c r="L14" s="15">
        <v>0.41666666666666652</v>
      </c>
      <c r="M14" s="15">
        <v>0.45138888888888873</v>
      </c>
      <c r="N14" s="18">
        <f t="shared" si="0"/>
        <v>0</v>
      </c>
      <c r="O14" s="18">
        <f t="shared" si="0"/>
        <v>0</v>
      </c>
      <c r="P14" s="18">
        <f t="shared" si="1"/>
        <v>0</v>
      </c>
      <c r="Q14" s="18">
        <f t="shared" si="1"/>
        <v>0</v>
      </c>
      <c r="R14" s="39">
        <f t="shared" si="4"/>
        <v>3.472222222222221E-2</v>
      </c>
      <c r="S14" s="39">
        <f t="shared" si="5"/>
        <v>3.472222222222221E-2</v>
      </c>
    </row>
    <row r="15" spans="1:19" s="19" customFormat="1" ht="12.75" customHeight="1">
      <c r="A15" s="14">
        <v>12</v>
      </c>
      <c r="B15" s="15">
        <v>0.43749999999999983</v>
      </c>
      <c r="C15" s="15">
        <f t="shared" si="2"/>
        <v>0.47222222222222204</v>
      </c>
      <c r="D15" s="15">
        <f t="shared" si="6"/>
        <v>2.0833333333333315E-2</v>
      </c>
      <c r="E15" s="15">
        <f t="shared" si="7"/>
        <v>2.0833333333333315E-2</v>
      </c>
      <c r="F15" s="15">
        <v>0.43749999999999983</v>
      </c>
      <c r="G15" s="15">
        <f t="shared" si="3"/>
        <v>0.47222222222222204</v>
      </c>
      <c r="H15" s="16">
        <f t="shared" si="8"/>
        <v>6.9444444444444198E-3</v>
      </c>
      <c r="I15" s="16">
        <f t="shared" si="9"/>
        <v>6.9444444444444198E-3</v>
      </c>
      <c r="J15" s="15">
        <v>0.43749999999999983</v>
      </c>
      <c r="K15" s="15">
        <v>0.47222222222222204</v>
      </c>
      <c r="L15" s="15">
        <v>0.43749999999999983</v>
      </c>
      <c r="M15" s="15">
        <v>0.47222222222222204</v>
      </c>
      <c r="N15" s="18">
        <f t="shared" si="0"/>
        <v>0</v>
      </c>
      <c r="O15" s="18">
        <f t="shared" si="0"/>
        <v>0</v>
      </c>
      <c r="P15" s="18">
        <f t="shared" si="1"/>
        <v>0</v>
      </c>
      <c r="Q15" s="18">
        <f t="shared" si="1"/>
        <v>0</v>
      </c>
      <c r="R15" s="39">
        <f t="shared" si="4"/>
        <v>3.472222222222221E-2</v>
      </c>
      <c r="S15" s="39">
        <f t="shared" si="5"/>
        <v>3.472222222222221E-2</v>
      </c>
    </row>
    <row r="16" spans="1:19" s="19" customFormat="1" ht="12.75" customHeight="1">
      <c r="A16" s="14">
        <v>13</v>
      </c>
      <c r="B16" s="15">
        <v>0.45833333333333315</v>
      </c>
      <c r="C16" s="15">
        <f t="shared" si="2"/>
        <v>0.49305555555555536</v>
      </c>
      <c r="D16" s="15">
        <f t="shared" si="6"/>
        <v>2.0833333333333315E-2</v>
      </c>
      <c r="E16" s="15">
        <f t="shared" si="7"/>
        <v>2.0833333333333315E-2</v>
      </c>
      <c r="F16" s="15">
        <v>0.45833333333333315</v>
      </c>
      <c r="G16" s="15">
        <f t="shared" si="3"/>
        <v>0.49305555555555536</v>
      </c>
      <c r="H16" s="16">
        <f t="shared" si="8"/>
        <v>6.9444444444444198E-3</v>
      </c>
      <c r="I16" s="16">
        <f t="shared" si="9"/>
        <v>6.9444444444444198E-3</v>
      </c>
      <c r="J16" s="15">
        <v>0.45833333333333315</v>
      </c>
      <c r="K16" s="15">
        <v>0.49305555555555536</v>
      </c>
      <c r="L16" s="15">
        <v>0.45833333333333315</v>
      </c>
      <c r="M16" s="15">
        <v>0.49305555555555536</v>
      </c>
      <c r="N16" s="18">
        <f t="shared" si="0"/>
        <v>0</v>
      </c>
      <c r="O16" s="18">
        <f t="shared" si="0"/>
        <v>0</v>
      </c>
      <c r="P16" s="18">
        <f t="shared" si="1"/>
        <v>0</v>
      </c>
      <c r="Q16" s="18">
        <f t="shared" si="1"/>
        <v>0</v>
      </c>
      <c r="R16" s="39">
        <f t="shared" si="4"/>
        <v>3.472222222222221E-2</v>
      </c>
      <c r="S16" s="39">
        <f t="shared" si="5"/>
        <v>3.472222222222221E-2</v>
      </c>
    </row>
    <row r="17" spans="1:19" s="19" customFormat="1" ht="12.75" customHeight="1">
      <c r="A17" s="14">
        <v>14</v>
      </c>
      <c r="B17" s="15">
        <v>0.47916666666666646</v>
      </c>
      <c r="C17" s="15">
        <f t="shared" si="2"/>
        <v>0.51388888888888873</v>
      </c>
      <c r="D17" s="15">
        <f t="shared" ref="D17:D18" si="10">B17-B16</f>
        <v>2.0833333333333315E-2</v>
      </c>
      <c r="E17" s="15">
        <f t="shared" ref="E17:E18" si="11">F17-F16</f>
        <v>2.0833333333333315E-2</v>
      </c>
      <c r="F17" s="15">
        <v>0.47916666666666646</v>
      </c>
      <c r="G17" s="15">
        <f t="shared" si="3"/>
        <v>0.51388888888888873</v>
      </c>
      <c r="H17" s="16">
        <f t="shared" si="8"/>
        <v>6.9444444444444198E-3</v>
      </c>
      <c r="I17" s="16">
        <f t="shared" si="9"/>
        <v>6.9444444444444198E-3</v>
      </c>
      <c r="J17" s="15">
        <v>0.47916666666666646</v>
      </c>
      <c r="K17" s="15">
        <v>0.51388888888888873</v>
      </c>
      <c r="L17" s="15">
        <v>0.47916666666666646</v>
      </c>
      <c r="M17" s="15">
        <v>0.51388888888888873</v>
      </c>
      <c r="N17" s="18">
        <f t="shared" si="0"/>
        <v>0</v>
      </c>
      <c r="O17" s="18">
        <f t="shared" si="0"/>
        <v>0</v>
      </c>
      <c r="P17" s="18">
        <f t="shared" si="1"/>
        <v>0</v>
      </c>
      <c r="Q17" s="18">
        <f t="shared" si="1"/>
        <v>0</v>
      </c>
      <c r="R17" s="39">
        <f t="shared" si="4"/>
        <v>3.4722222222222265E-2</v>
      </c>
      <c r="S17" s="39">
        <f t="shared" si="5"/>
        <v>3.4722222222222265E-2</v>
      </c>
    </row>
    <row r="18" spans="1:19" s="19" customFormat="1" ht="12.75" customHeight="1">
      <c r="A18" s="14">
        <v>15</v>
      </c>
      <c r="B18" s="15">
        <v>0.49999999999999978</v>
      </c>
      <c r="C18" s="15">
        <f t="shared" si="2"/>
        <v>0.53472222222222199</v>
      </c>
      <c r="D18" s="15">
        <f t="shared" si="10"/>
        <v>2.0833333333333315E-2</v>
      </c>
      <c r="E18" s="15">
        <f t="shared" si="11"/>
        <v>2.0833333333333315E-2</v>
      </c>
      <c r="F18" s="15">
        <v>0.49999999999999978</v>
      </c>
      <c r="G18" s="15">
        <f t="shared" si="3"/>
        <v>0.53472222222222199</v>
      </c>
      <c r="H18" s="16">
        <f t="shared" si="8"/>
        <v>6.9444444444444198E-3</v>
      </c>
      <c r="I18" s="16">
        <f t="shared" si="9"/>
        <v>6.9444444444444198E-3</v>
      </c>
      <c r="J18" s="15">
        <v>0.49999999999999978</v>
      </c>
      <c r="K18" s="15">
        <v>0.53472222222222199</v>
      </c>
      <c r="L18" s="15">
        <v>0.49999999999999978</v>
      </c>
      <c r="M18" s="15">
        <v>0.53472222222222199</v>
      </c>
      <c r="N18" s="18">
        <f t="shared" ref="N18:O18" si="12">J18-B18</f>
        <v>0</v>
      </c>
      <c r="O18" s="18">
        <f t="shared" si="12"/>
        <v>0</v>
      </c>
      <c r="P18" s="18">
        <f t="shared" ref="P18:Q18" si="13">L18-F18</f>
        <v>0</v>
      </c>
      <c r="Q18" s="18">
        <f t="shared" si="13"/>
        <v>0</v>
      </c>
      <c r="R18" s="39">
        <f t="shared" si="4"/>
        <v>3.472222222222221E-2</v>
      </c>
      <c r="S18" s="39">
        <f t="shared" si="5"/>
        <v>3.472222222222221E-2</v>
      </c>
    </row>
    <row r="19" spans="1:19" s="19" customFormat="1" ht="12.75" customHeight="1">
      <c r="A19" s="35"/>
      <c r="B19" s="36"/>
      <c r="C19" s="36"/>
      <c r="D19" s="36"/>
      <c r="E19" s="36"/>
      <c r="F19" s="36"/>
      <c r="G19" s="36"/>
      <c r="H19" s="16"/>
      <c r="I19" s="16"/>
      <c r="J19" s="36"/>
      <c r="K19" s="36"/>
      <c r="L19" s="36"/>
      <c r="M19" s="36"/>
      <c r="N19" s="16"/>
      <c r="O19" s="16"/>
      <c r="P19" s="16"/>
      <c r="Q19" s="16"/>
    </row>
    <row r="20" spans="1:19" ht="16.5" customHeight="1">
      <c r="A20" s="17"/>
      <c r="B20" s="20" t="s">
        <v>2</v>
      </c>
      <c r="C20" s="21">
        <f>A18*2</f>
        <v>30</v>
      </c>
      <c r="D20" s="22"/>
      <c r="E20" s="23"/>
      <c r="F20" s="24" t="s">
        <v>3</v>
      </c>
      <c r="G20" s="25"/>
      <c r="H20" s="17"/>
      <c r="I20" s="16"/>
      <c r="J20" s="17"/>
      <c r="K20" s="17"/>
    </row>
    <row r="21" spans="1:19" ht="17.25" customHeight="1">
      <c r="A21" s="17"/>
      <c r="B21" s="28" t="s">
        <v>4</v>
      </c>
      <c r="C21" s="21">
        <v>50</v>
      </c>
      <c r="D21" s="17"/>
      <c r="E21" s="25"/>
      <c r="F21" s="28" t="s">
        <v>5</v>
      </c>
      <c r="G21" s="26"/>
      <c r="H21" s="17"/>
      <c r="I21" s="16"/>
      <c r="J21" s="17"/>
      <c r="K21" s="17"/>
    </row>
    <row r="22" spans="1:19" ht="17.25" customHeight="1">
      <c r="A22" s="17"/>
      <c r="B22" s="28" t="s">
        <v>6</v>
      </c>
      <c r="C22" s="29"/>
      <c r="D22" s="17"/>
      <c r="E22" s="30"/>
      <c r="F22" s="28"/>
      <c r="G22" s="26"/>
      <c r="H22" s="17"/>
      <c r="I22" s="16"/>
      <c r="J22" s="17"/>
      <c r="K22" s="17"/>
    </row>
    <row r="23" spans="1:19" ht="17.25" customHeight="1">
      <c r="A23" s="17"/>
      <c r="B23" s="28" t="s">
        <v>7</v>
      </c>
      <c r="C23" s="21">
        <f>HOUR(MIN(D5:E18))*60+MINUTE(MIN(D5:E18))</f>
        <v>30</v>
      </c>
      <c r="D23" s="17"/>
      <c r="E23" s="31"/>
      <c r="F23" s="28" t="s">
        <v>5</v>
      </c>
      <c r="G23" s="26"/>
      <c r="H23" s="17"/>
      <c r="I23" s="16"/>
      <c r="J23" s="17"/>
      <c r="K23" s="17"/>
    </row>
    <row r="24" spans="1:19" ht="17.25" customHeight="1">
      <c r="A24" s="17"/>
      <c r="B24" s="28" t="s">
        <v>8</v>
      </c>
      <c r="C24" s="21">
        <f>HOUR(MAX(D5:E18))*60+MINUTE(MAX(D5:E18))</f>
        <v>30</v>
      </c>
      <c r="D24" s="17"/>
      <c r="E24" s="26"/>
      <c r="F24" s="28" t="s">
        <v>5</v>
      </c>
      <c r="G24" s="26"/>
      <c r="H24" s="17"/>
      <c r="I24" s="16"/>
      <c r="J24" s="17"/>
      <c r="K24" s="17"/>
    </row>
    <row r="25" spans="1:19">
      <c r="A25" s="17"/>
      <c r="B25" s="17"/>
      <c r="C25" s="17"/>
      <c r="D25" s="17"/>
      <c r="E25" s="32"/>
      <c r="F25" s="17"/>
      <c r="G25" s="26"/>
      <c r="H25" s="17"/>
      <c r="I25" s="17"/>
      <c r="J25" s="17"/>
      <c r="K25" s="17"/>
    </row>
    <row r="26" spans="1:19" hidden="1">
      <c r="A26" s="33" t="s">
        <v>9</v>
      </c>
      <c r="B26" s="33"/>
      <c r="C26" s="33"/>
      <c r="D26" s="33"/>
      <c r="E26" s="33"/>
      <c r="F26" s="17"/>
      <c r="G26" s="26"/>
      <c r="H26" s="17"/>
      <c r="I26" s="17"/>
      <c r="J26" s="17"/>
      <c r="K26" s="17"/>
    </row>
    <row r="27" spans="1:19" hidden="1">
      <c r="A27" s="34" t="s">
        <v>10</v>
      </c>
      <c r="B27" s="34"/>
      <c r="C27" s="34"/>
      <c r="D27" s="34"/>
      <c r="E27" s="34"/>
    </row>
  </sheetData>
  <autoFilter ref="A1:S18" xr:uid="{00000000-0009-0000-0000-000001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2">
    <mergeCell ref="A1:G1"/>
    <mergeCell ref="A2:A3"/>
  </mergeCells>
  <conditionalFormatting sqref="H4:I18">
    <cfRule type="cellIs" dxfId="5" priority="1" operator="lessThan">
      <formula>0.00277777777777778</formula>
    </cfRule>
  </conditionalFormatting>
  <pageMargins left="0.70866141732283505" right="0.70866141732283505" top="0.57999999999999996" bottom="0.74803149606299202" header="0.31496062992126" footer="0.31496062992126"/>
  <pageSetup paperSize="9" firstPageNumber="5" fitToWidth="0" orientation="portrait" useFirstPageNumber="1" r:id="rId1"/>
  <headerFooter alignWithMargins="0">
    <oddHeader>&amp;C&amp;P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1"/>
  <sheetViews>
    <sheetView zoomScaleNormal="100" workbookViewId="0">
      <selection activeCell="U3" sqref="U3"/>
    </sheetView>
  </sheetViews>
  <sheetFormatPr defaultColWidth="10.28515625" defaultRowHeight="15.75"/>
  <cols>
    <col min="1" max="1" width="8.140625" style="27" customWidth="1"/>
    <col min="2" max="2" width="20" style="27" customWidth="1"/>
    <col min="3" max="3" width="18.28515625" style="27" customWidth="1"/>
    <col min="4" max="5" width="7.42578125" style="27" hidden="1" customWidth="1"/>
    <col min="6" max="6" width="19" style="27" customWidth="1"/>
    <col min="7" max="7" width="19.85546875" style="27" customWidth="1"/>
    <col min="8" max="9" width="5.28515625" style="27" customWidth="1"/>
    <col min="10" max="13" width="5" style="27" customWidth="1"/>
    <col min="14" max="17" width="5.42578125" style="27" customWidth="1"/>
    <col min="18" max="19" width="5" style="27" customWidth="1"/>
    <col min="20" max="16384" width="10.28515625" style="27"/>
  </cols>
  <sheetData>
    <row r="1" spans="1:19" s="2" customFormat="1" ht="101.25" customHeight="1">
      <c r="A1" s="48" t="s">
        <v>20</v>
      </c>
      <c r="B1" s="48"/>
      <c r="C1" s="48"/>
      <c r="D1" s="48"/>
      <c r="E1" s="48"/>
      <c r="F1" s="48"/>
      <c r="G1" s="48"/>
      <c r="H1" s="1"/>
      <c r="I1" s="1"/>
      <c r="J1" s="1"/>
      <c r="K1" s="1"/>
    </row>
    <row r="2" spans="1:19" s="7" customFormat="1" ht="17.25" customHeight="1">
      <c r="A2" s="46" t="s">
        <v>0</v>
      </c>
      <c r="B2" s="3" t="s">
        <v>12</v>
      </c>
      <c r="C2" s="4"/>
      <c r="D2" s="5"/>
      <c r="E2" s="5"/>
      <c r="F2" s="3" t="s">
        <v>13</v>
      </c>
      <c r="G2" s="4"/>
      <c r="H2" s="6"/>
      <c r="I2" s="6" t="s">
        <v>18</v>
      </c>
      <c r="J2" s="6"/>
      <c r="K2" s="6"/>
    </row>
    <row r="3" spans="1:19" s="13" customFormat="1" ht="42" customHeight="1">
      <c r="A3" s="47"/>
      <c r="B3" s="8" t="s">
        <v>15</v>
      </c>
      <c r="C3" s="9" t="s">
        <v>11</v>
      </c>
      <c r="D3" s="10" t="s">
        <v>1</v>
      </c>
      <c r="E3" s="10" t="s">
        <v>1</v>
      </c>
      <c r="F3" s="9" t="s">
        <v>16</v>
      </c>
      <c r="G3" s="11" t="s">
        <v>17</v>
      </c>
      <c r="H3" s="37"/>
      <c r="I3" s="16">
        <v>3.4722222222222224E-2</v>
      </c>
      <c r="J3" s="12"/>
      <c r="K3" s="12"/>
    </row>
    <row r="4" spans="1:19" s="19" customFormat="1" ht="12.75" customHeight="1">
      <c r="A4" s="14">
        <v>1</v>
      </c>
      <c r="B4" s="15">
        <v>0.33333333333333331</v>
      </c>
      <c r="C4" s="15">
        <f>B4+$I$3</f>
        <v>0.36805555555555552</v>
      </c>
      <c r="D4" s="15"/>
      <c r="E4" s="15"/>
      <c r="F4" s="15">
        <v>0.33333333333333331</v>
      </c>
      <c r="G4" s="15">
        <f>F4+$I$3</f>
        <v>0.36805555555555552</v>
      </c>
      <c r="H4" s="38"/>
      <c r="I4" s="16">
        <v>3.8194444444444441E-2</v>
      </c>
      <c r="J4" s="15">
        <v>0.33333333333333331</v>
      </c>
      <c r="K4" s="15">
        <v>0.36805555555555552</v>
      </c>
      <c r="L4" s="15">
        <v>0.33333333333333331</v>
      </c>
      <c r="M4" s="15">
        <v>0.36805555555555552</v>
      </c>
      <c r="N4" s="18">
        <f t="shared" ref="N4:O21" si="0">J4-B4</f>
        <v>0</v>
      </c>
      <c r="O4" s="18">
        <f t="shared" si="0"/>
        <v>0</v>
      </c>
      <c r="P4" s="18">
        <f t="shared" ref="P4:Q21" si="1">L4-F4</f>
        <v>0</v>
      </c>
      <c r="Q4" s="18">
        <f t="shared" si="1"/>
        <v>0</v>
      </c>
      <c r="R4" s="39">
        <f>C4-B4</f>
        <v>3.472222222222221E-2</v>
      </c>
      <c r="S4" s="39">
        <f>G4-F4</f>
        <v>3.472222222222221E-2</v>
      </c>
    </row>
    <row r="5" spans="1:19" s="19" customFormat="1" ht="12.75" customHeight="1">
      <c r="A5" s="14">
        <v>2</v>
      </c>
      <c r="B5" s="15">
        <v>0.35416666666666663</v>
      </c>
      <c r="C5" s="15">
        <f t="shared" ref="C5:C22" si="2">B5+$I$3</f>
        <v>0.38888888888888884</v>
      </c>
      <c r="D5" s="15">
        <f>B5-B4</f>
        <v>2.0833333333333315E-2</v>
      </c>
      <c r="E5" s="15">
        <f>F5-F4</f>
        <v>2.0833333333333315E-2</v>
      </c>
      <c r="F5" s="15">
        <v>0.35416666666666663</v>
      </c>
      <c r="G5" s="15">
        <f t="shared" ref="G5:G22" si="3">F5+$I$3</f>
        <v>0.38888888888888884</v>
      </c>
      <c r="H5" s="38"/>
      <c r="I5" s="17"/>
      <c r="J5" s="15">
        <v>0.35416666666666663</v>
      </c>
      <c r="K5" s="15">
        <v>0.38888888888888884</v>
      </c>
      <c r="L5" s="15">
        <v>0.35416666666666663</v>
      </c>
      <c r="M5" s="15">
        <v>0.38888888888888884</v>
      </c>
      <c r="N5" s="18">
        <f t="shared" si="0"/>
        <v>0</v>
      </c>
      <c r="O5" s="18">
        <f t="shared" si="0"/>
        <v>0</v>
      </c>
      <c r="P5" s="18">
        <f t="shared" si="1"/>
        <v>0</v>
      </c>
      <c r="Q5" s="18">
        <f t="shared" si="1"/>
        <v>0</v>
      </c>
      <c r="R5" s="39">
        <f t="shared" ref="R5:R22" si="4">C5-B5</f>
        <v>3.472222222222221E-2</v>
      </c>
      <c r="S5" s="39">
        <f t="shared" ref="S5:S22" si="5">G5-F5</f>
        <v>3.472222222222221E-2</v>
      </c>
    </row>
    <row r="6" spans="1:19" s="19" customFormat="1" ht="12.75" customHeight="1">
      <c r="A6" s="14">
        <v>3</v>
      </c>
      <c r="B6" s="15">
        <v>0.37499999999999994</v>
      </c>
      <c r="C6" s="15">
        <f t="shared" si="2"/>
        <v>0.40972222222222215</v>
      </c>
      <c r="D6" s="15">
        <f t="shared" ref="D6:D21" si="6">B6-B5</f>
        <v>2.0833333333333315E-2</v>
      </c>
      <c r="E6" s="15">
        <f t="shared" ref="E6:E21" si="7">F6-F5</f>
        <v>2.0833333333333315E-2</v>
      </c>
      <c r="F6" s="15">
        <v>0.37499999999999994</v>
      </c>
      <c r="G6" s="15">
        <f t="shared" si="3"/>
        <v>0.40972222222222215</v>
      </c>
      <c r="H6" s="16">
        <f>B6-G4</f>
        <v>6.9444444444444198E-3</v>
      </c>
      <c r="I6" s="16">
        <f>F6-C4</f>
        <v>6.9444444444444198E-3</v>
      </c>
      <c r="J6" s="15">
        <v>0.37499999999999994</v>
      </c>
      <c r="K6" s="15">
        <v>0.40972222222222215</v>
      </c>
      <c r="L6" s="15">
        <v>0.37499999999999994</v>
      </c>
      <c r="M6" s="15">
        <v>0.40972222222222215</v>
      </c>
      <c r="N6" s="18">
        <f t="shared" si="0"/>
        <v>0</v>
      </c>
      <c r="O6" s="18">
        <f t="shared" si="0"/>
        <v>0</v>
      </c>
      <c r="P6" s="18">
        <f t="shared" si="1"/>
        <v>0</v>
      </c>
      <c r="Q6" s="18">
        <f t="shared" si="1"/>
        <v>0</v>
      </c>
      <c r="R6" s="39">
        <f t="shared" si="4"/>
        <v>3.472222222222221E-2</v>
      </c>
      <c r="S6" s="39">
        <f t="shared" si="5"/>
        <v>3.472222222222221E-2</v>
      </c>
    </row>
    <row r="7" spans="1:19" s="19" customFormat="1" ht="12.75" customHeight="1">
      <c r="A7" s="14">
        <v>4</v>
      </c>
      <c r="B7" s="15">
        <v>0.39583333333333326</v>
      </c>
      <c r="C7" s="15">
        <f t="shared" si="2"/>
        <v>0.43055555555555547</v>
      </c>
      <c r="D7" s="15">
        <f t="shared" si="6"/>
        <v>2.0833333333333315E-2</v>
      </c>
      <c r="E7" s="15">
        <f t="shared" si="7"/>
        <v>2.0833333333333315E-2</v>
      </c>
      <c r="F7" s="15">
        <v>0.39583333333333326</v>
      </c>
      <c r="G7" s="15">
        <f t="shared" si="3"/>
        <v>0.43055555555555547</v>
      </c>
      <c r="H7" s="16">
        <f t="shared" ref="H7:H22" si="8">B7-G5</f>
        <v>6.9444444444444198E-3</v>
      </c>
      <c r="I7" s="16">
        <f t="shared" ref="I7:I22" si="9">F7-C5</f>
        <v>6.9444444444444198E-3</v>
      </c>
      <c r="J7" s="15">
        <v>0.39583333333333326</v>
      </c>
      <c r="K7" s="15">
        <v>0.43055555555555547</v>
      </c>
      <c r="L7" s="15">
        <v>0.39583333333333326</v>
      </c>
      <c r="M7" s="15">
        <v>0.43055555555555547</v>
      </c>
      <c r="N7" s="18">
        <f t="shared" si="0"/>
        <v>0</v>
      </c>
      <c r="O7" s="18">
        <f t="shared" si="0"/>
        <v>0</v>
      </c>
      <c r="P7" s="18">
        <f t="shared" si="1"/>
        <v>0</v>
      </c>
      <c r="Q7" s="18">
        <f t="shared" si="1"/>
        <v>0</v>
      </c>
      <c r="R7" s="39">
        <f t="shared" si="4"/>
        <v>3.472222222222221E-2</v>
      </c>
      <c r="S7" s="39">
        <f t="shared" si="5"/>
        <v>3.472222222222221E-2</v>
      </c>
    </row>
    <row r="8" spans="1:19" s="19" customFormat="1" ht="12.75" customHeight="1">
      <c r="A8" s="14">
        <v>5</v>
      </c>
      <c r="B8" s="15">
        <v>0.41666666666666657</v>
      </c>
      <c r="C8" s="15">
        <f t="shared" si="2"/>
        <v>0.45138888888888878</v>
      </c>
      <c r="D8" s="15">
        <f t="shared" si="6"/>
        <v>2.0833333333333315E-2</v>
      </c>
      <c r="E8" s="15">
        <f t="shared" si="7"/>
        <v>2.0833333333333315E-2</v>
      </c>
      <c r="F8" s="15">
        <v>0.41666666666666657</v>
      </c>
      <c r="G8" s="15">
        <f t="shared" si="3"/>
        <v>0.45138888888888878</v>
      </c>
      <c r="H8" s="16">
        <f t="shared" si="8"/>
        <v>6.9444444444444198E-3</v>
      </c>
      <c r="I8" s="16">
        <f t="shared" si="9"/>
        <v>6.9444444444444198E-3</v>
      </c>
      <c r="J8" s="15">
        <v>0.41666666666666657</v>
      </c>
      <c r="K8" s="15">
        <v>0.45138888888888878</v>
      </c>
      <c r="L8" s="15">
        <v>0.41666666666666657</v>
      </c>
      <c r="M8" s="15">
        <v>0.45138888888888878</v>
      </c>
      <c r="N8" s="18">
        <f t="shared" si="0"/>
        <v>0</v>
      </c>
      <c r="O8" s="18">
        <f t="shared" si="0"/>
        <v>0</v>
      </c>
      <c r="P8" s="18">
        <f t="shared" si="1"/>
        <v>0</v>
      </c>
      <c r="Q8" s="18">
        <f t="shared" si="1"/>
        <v>0</v>
      </c>
      <c r="R8" s="39">
        <f t="shared" si="4"/>
        <v>3.472222222222221E-2</v>
      </c>
      <c r="S8" s="39">
        <f t="shared" si="5"/>
        <v>3.472222222222221E-2</v>
      </c>
    </row>
    <row r="9" spans="1:19" s="19" customFormat="1" ht="12.75" customHeight="1">
      <c r="A9" s="14">
        <v>6</v>
      </c>
      <c r="B9" s="15">
        <v>0.43749999999999989</v>
      </c>
      <c r="C9" s="15">
        <f t="shared" si="2"/>
        <v>0.4722222222222221</v>
      </c>
      <c r="D9" s="15">
        <f t="shared" si="6"/>
        <v>2.0833333333333315E-2</v>
      </c>
      <c r="E9" s="15">
        <f t="shared" si="7"/>
        <v>2.0833333333333315E-2</v>
      </c>
      <c r="F9" s="15">
        <v>0.43749999999999989</v>
      </c>
      <c r="G9" s="15">
        <f t="shared" si="3"/>
        <v>0.4722222222222221</v>
      </c>
      <c r="H9" s="16">
        <f t="shared" si="8"/>
        <v>6.9444444444444198E-3</v>
      </c>
      <c r="I9" s="16">
        <f t="shared" si="9"/>
        <v>6.9444444444444198E-3</v>
      </c>
      <c r="J9" s="15">
        <v>0.43749999999999989</v>
      </c>
      <c r="K9" s="15">
        <v>0.4722222222222221</v>
      </c>
      <c r="L9" s="15">
        <v>0.43749999999999989</v>
      </c>
      <c r="M9" s="15">
        <v>0.4722222222222221</v>
      </c>
      <c r="N9" s="18">
        <f t="shared" si="0"/>
        <v>0</v>
      </c>
      <c r="O9" s="18">
        <f t="shared" si="0"/>
        <v>0</v>
      </c>
      <c r="P9" s="18">
        <f t="shared" si="1"/>
        <v>0</v>
      </c>
      <c r="Q9" s="18">
        <f t="shared" si="1"/>
        <v>0</v>
      </c>
      <c r="R9" s="39">
        <f t="shared" si="4"/>
        <v>3.472222222222221E-2</v>
      </c>
      <c r="S9" s="39">
        <f t="shared" si="5"/>
        <v>3.472222222222221E-2</v>
      </c>
    </row>
    <row r="10" spans="1:19" s="19" customFormat="1" ht="12.75" customHeight="1">
      <c r="A10" s="14">
        <v>7</v>
      </c>
      <c r="B10" s="15">
        <v>0.4583333333333332</v>
      </c>
      <c r="C10" s="15">
        <f t="shared" si="2"/>
        <v>0.49305555555555541</v>
      </c>
      <c r="D10" s="15">
        <f t="shared" si="6"/>
        <v>2.0833333333333315E-2</v>
      </c>
      <c r="E10" s="15">
        <f t="shared" si="7"/>
        <v>2.0833333333333315E-2</v>
      </c>
      <c r="F10" s="15">
        <v>0.4583333333333332</v>
      </c>
      <c r="G10" s="15">
        <f t="shared" si="3"/>
        <v>0.49305555555555541</v>
      </c>
      <c r="H10" s="16">
        <f t="shared" si="8"/>
        <v>6.9444444444444198E-3</v>
      </c>
      <c r="I10" s="16">
        <f t="shared" si="9"/>
        <v>6.9444444444444198E-3</v>
      </c>
      <c r="J10" s="15">
        <v>0.4583333333333332</v>
      </c>
      <c r="K10" s="15">
        <v>0.49305555555555541</v>
      </c>
      <c r="L10" s="15">
        <v>0.4583333333333332</v>
      </c>
      <c r="M10" s="15">
        <v>0.49305555555555541</v>
      </c>
      <c r="N10" s="18">
        <f t="shared" si="0"/>
        <v>0</v>
      </c>
      <c r="O10" s="18">
        <f t="shared" si="0"/>
        <v>0</v>
      </c>
      <c r="P10" s="18">
        <f t="shared" si="1"/>
        <v>0</v>
      </c>
      <c r="Q10" s="18">
        <f t="shared" si="1"/>
        <v>0</v>
      </c>
      <c r="R10" s="39">
        <f t="shared" si="4"/>
        <v>3.472222222222221E-2</v>
      </c>
      <c r="S10" s="39">
        <f t="shared" si="5"/>
        <v>3.472222222222221E-2</v>
      </c>
    </row>
    <row r="11" spans="1:19" s="19" customFormat="1" ht="12.75" customHeight="1">
      <c r="A11" s="14">
        <v>8</v>
      </c>
      <c r="B11" s="15">
        <v>0.47916666666666652</v>
      </c>
      <c r="C11" s="15">
        <f t="shared" si="2"/>
        <v>0.51388888888888873</v>
      </c>
      <c r="D11" s="15">
        <f t="shared" si="6"/>
        <v>2.0833333333333315E-2</v>
      </c>
      <c r="E11" s="15">
        <f t="shared" si="7"/>
        <v>2.0833333333333315E-2</v>
      </c>
      <c r="F11" s="15">
        <v>0.47916666666666652</v>
      </c>
      <c r="G11" s="15">
        <f t="shared" si="3"/>
        <v>0.51388888888888873</v>
      </c>
      <c r="H11" s="16">
        <f t="shared" si="8"/>
        <v>6.9444444444444198E-3</v>
      </c>
      <c r="I11" s="16">
        <f t="shared" si="9"/>
        <v>6.9444444444444198E-3</v>
      </c>
      <c r="J11" s="15">
        <v>0.47916666666666652</v>
      </c>
      <c r="K11" s="15">
        <v>0.51388888888888873</v>
      </c>
      <c r="L11" s="15">
        <v>0.47916666666666652</v>
      </c>
      <c r="M11" s="15">
        <v>0.51388888888888873</v>
      </c>
      <c r="N11" s="18">
        <f t="shared" si="0"/>
        <v>0</v>
      </c>
      <c r="O11" s="18">
        <f t="shared" si="0"/>
        <v>0</v>
      </c>
      <c r="P11" s="18">
        <f t="shared" si="1"/>
        <v>0</v>
      </c>
      <c r="Q11" s="18">
        <f t="shared" si="1"/>
        <v>0</v>
      </c>
      <c r="R11" s="39">
        <f t="shared" si="4"/>
        <v>3.472222222222221E-2</v>
      </c>
      <c r="S11" s="39">
        <f t="shared" si="5"/>
        <v>3.472222222222221E-2</v>
      </c>
    </row>
    <row r="12" spans="1:19" s="19" customFormat="1" ht="12.75" customHeight="1">
      <c r="A12" s="14">
        <v>9</v>
      </c>
      <c r="B12" s="15">
        <v>0.49999999999999983</v>
      </c>
      <c r="C12" s="15">
        <f t="shared" si="2"/>
        <v>0.5347222222222221</v>
      </c>
      <c r="D12" s="15">
        <f t="shared" si="6"/>
        <v>2.0833333333333315E-2</v>
      </c>
      <c r="E12" s="15">
        <f t="shared" si="7"/>
        <v>2.0833333333333315E-2</v>
      </c>
      <c r="F12" s="15">
        <v>0.49999999999999983</v>
      </c>
      <c r="G12" s="15">
        <f t="shared" si="3"/>
        <v>0.5347222222222221</v>
      </c>
      <c r="H12" s="16">
        <f t="shared" si="8"/>
        <v>6.9444444444444198E-3</v>
      </c>
      <c r="I12" s="16">
        <f t="shared" si="9"/>
        <v>6.9444444444444198E-3</v>
      </c>
      <c r="J12" s="15">
        <v>0.49999999999999983</v>
      </c>
      <c r="K12" s="15">
        <v>0.5347222222222221</v>
      </c>
      <c r="L12" s="15">
        <v>0.49999999999999983</v>
      </c>
      <c r="M12" s="15">
        <v>0.5347222222222221</v>
      </c>
      <c r="N12" s="18">
        <f t="shared" si="0"/>
        <v>0</v>
      </c>
      <c r="O12" s="18">
        <f t="shared" si="0"/>
        <v>0</v>
      </c>
      <c r="P12" s="18">
        <f t="shared" si="1"/>
        <v>0</v>
      </c>
      <c r="Q12" s="18">
        <f t="shared" si="1"/>
        <v>0</v>
      </c>
      <c r="R12" s="39">
        <f t="shared" si="4"/>
        <v>3.4722222222222265E-2</v>
      </c>
      <c r="S12" s="39">
        <f t="shared" si="5"/>
        <v>3.4722222222222265E-2</v>
      </c>
    </row>
    <row r="13" spans="1:19" s="19" customFormat="1" ht="12.75" customHeight="1">
      <c r="A13" s="14">
        <v>10</v>
      </c>
      <c r="B13" s="15">
        <v>0.52083333333333315</v>
      </c>
      <c r="C13" s="15">
        <f t="shared" si="2"/>
        <v>0.55555555555555536</v>
      </c>
      <c r="D13" s="15">
        <f t="shared" si="6"/>
        <v>2.0833333333333315E-2</v>
      </c>
      <c r="E13" s="15">
        <f t="shared" si="7"/>
        <v>2.0833333333333315E-2</v>
      </c>
      <c r="F13" s="15">
        <v>0.52083333333333315</v>
      </c>
      <c r="G13" s="15">
        <f t="shared" si="3"/>
        <v>0.55555555555555536</v>
      </c>
      <c r="H13" s="16">
        <f t="shared" si="8"/>
        <v>6.9444444444444198E-3</v>
      </c>
      <c r="I13" s="16">
        <f t="shared" si="9"/>
        <v>6.9444444444444198E-3</v>
      </c>
      <c r="J13" s="15">
        <v>0.52083333333333315</v>
      </c>
      <c r="K13" s="15">
        <v>0.55555555555555536</v>
      </c>
      <c r="L13" s="15">
        <v>0.52083333333333315</v>
      </c>
      <c r="M13" s="15">
        <v>0.55555555555555536</v>
      </c>
      <c r="N13" s="18">
        <f t="shared" si="0"/>
        <v>0</v>
      </c>
      <c r="O13" s="18">
        <f t="shared" si="0"/>
        <v>0</v>
      </c>
      <c r="P13" s="18">
        <f t="shared" si="1"/>
        <v>0</v>
      </c>
      <c r="Q13" s="18">
        <f t="shared" si="1"/>
        <v>0</v>
      </c>
      <c r="R13" s="39">
        <f t="shared" si="4"/>
        <v>3.472222222222221E-2</v>
      </c>
      <c r="S13" s="39">
        <f t="shared" si="5"/>
        <v>3.472222222222221E-2</v>
      </c>
    </row>
    <row r="14" spans="1:19" s="19" customFormat="1" ht="12.75" customHeight="1">
      <c r="A14" s="14">
        <v>11</v>
      </c>
      <c r="B14" s="15">
        <v>0.54166666666666652</v>
      </c>
      <c r="C14" s="15">
        <f t="shared" si="2"/>
        <v>0.57638888888888873</v>
      </c>
      <c r="D14" s="15">
        <f t="shared" si="6"/>
        <v>2.083333333333337E-2</v>
      </c>
      <c r="E14" s="15">
        <f t="shared" si="7"/>
        <v>2.083333333333337E-2</v>
      </c>
      <c r="F14" s="15">
        <v>0.54166666666666652</v>
      </c>
      <c r="G14" s="15">
        <f t="shared" si="3"/>
        <v>0.57638888888888873</v>
      </c>
      <c r="H14" s="16">
        <f t="shared" si="8"/>
        <v>6.9444444444444198E-3</v>
      </c>
      <c r="I14" s="16">
        <f t="shared" si="9"/>
        <v>6.9444444444444198E-3</v>
      </c>
      <c r="J14" s="15">
        <v>0.54166666666666652</v>
      </c>
      <c r="K14" s="15">
        <v>0.57638888888888873</v>
      </c>
      <c r="L14" s="15">
        <v>0.54166666666666652</v>
      </c>
      <c r="M14" s="15">
        <v>0.57638888888888873</v>
      </c>
      <c r="N14" s="18">
        <f t="shared" si="0"/>
        <v>0</v>
      </c>
      <c r="O14" s="18">
        <f t="shared" si="0"/>
        <v>0</v>
      </c>
      <c r="P14" s="18">
        <f t="shared" si="1"/>
        <v>0</v>
      </c>
      <c r="Q14" s="18">
        <f t="shared" si="1"/>
        <v>0</v>
      </c>
      <c r="R14" s="39">
        <f t="shared" si="4"/>
        <v>3.472222222222221E-2</v>
      </c>
      <c r="S14" s="39">
        <f t="shared" si="5"/>
        <v>3.472222222222221E-2</v>
      </c>
    </row>
    <row r="15" spans="1:19" s="19" customFormat="1" ht="12.75" customHeight="1">
      <c r="A15" s="14">
        <v>12</v>
      </c>
      <c r="B15" s="15">
        <v>0.56249999999999989</v>
      </c>
      <c r="C15" s="15">
        <f t="shared" si="2"/>
        <v>0.5972222222222221</v>
      </c>
      <c r="D15" s="15">
        <f t="shared" si="6"/>
        <v>2.083333333333337E-2</v>
      </c>
      <c r="E15" s="15">
        <f t="shared" si="7"/>
        <v>2.083333333333337E-2</v>
      </c>
      <c r="F15" s="15">
        <v>0.56249999999999989</v>
      </c>
      <c r="G15" s="15">
        <f t="shared" si="3"/>
        <v>0.5972222222222221</v>
      </c>
      <c r="H15" s="16">
        <f t="shared" si="8"/>
        <v>6.9444444444445308E-3</v>
      </c>
      <c r="I15" s="16">
        <f t="shared" si="9"/>
        <v>6.9444444444445308E-3</v>
      </c>
      <c r="J15" s="15">
        <v>0.56249999999999989</v>
      </c>
      <c r="K15" s="15">
        <v>0.5972222222222221</v>
      </c>
      <c r="L15" s="15">
        <v>0.56249999999999989</v>
      </c>
      <c r="M15" s="15">
        <v>0.5972222222222221</v>
      </c>
      <c r="N15" s="18">
        <f t="shared" si="0"/>
        <v>0</v>
      </c>
      <c r="O15" s="18">
        <f t="shared" si="0"/>
        <v>0</v>
      </c>
      <c r="P15" s="18">
        <f t="shared" si="1"/>
        <v>0</v>
      </c>
      <c r="Q15" s="18">
        <f t="shared" si="1"/>
        <v>0</v>
      </c>
      <c r="R15" s="39">
        <f t="shared" si="4"/>
        <v>3.472222222222221E-2</v>
      </c>
      <c r="S15" s="39">
        <f t="shared" si="5"/>
        <v>3.472222222222221E-2</v>
      </c>
    </row>
    <row r="16" spans="1:19" s="19" customFormat="1" ht="12.75" customHeight="1">
      <c r="A16" s="14">
        <v>13</v>
      </c>
      <c r="B16" s="15">
        <v>0.58333333333333326</v>
      </c>
      <c r="C16" s="15">
        <f t="shared" si="2"/>
        <v>0.61805555555555547</v>
      </c>
      <c r="D16" s="15">
        <f t="shared" si="6"/>
        <v>2.083333333333337E-2</v>
      </c>
      <c r="E16" s="15">
        <f t="shared" si="7"/>
        <v>2.083333333333337E-2</v>
      </c>
      <c r="F16" s="15">
        <v>0.58333333333333326</v>
      </c>
      <c r="G16" s="15">
        <f t="shared" si="3"/>
        <v>0.61805555555555547</v>
      </c>
      <c r="H16" s="16">
        <f t="shared" si="8"/>
        <v>6.9444444444445308E-3</v>
      </c>
      <c r="I16" s="16">
        <f t="shared" si="9"/>
        <v>6.9444444444445308E-3</v>
      </c>
      <c r="J16" s="15">
        <v>0.58333333333333326</v>
      </c>
      <c r="K16" s="15">
        <v>0.61805555555555547</v>
      </c>
      <c r="L16" s="15">
        <v>0.58333333333333326</v>
      </c>
      <c r="M16" s="15">
        <v>0.61805555555555547</v>
      </c>
      <c r="N16" s="18">
        <f t="shared" si="0"/>
        <v>0</v>
      </c>
      <c r="O16" s="18">
        <f t="shared" si="0"/>
        <v>0</v>
      </c>
      <c r="P16" s="18">
        <f t="shared" si="1"/>
        <v>0</v>
      </c>
      <c r="Q16" s="18">
        <f t="shared" si="1"/>
        <v>0</v>
      </c>
      <c r="R16" s="39">
        <f t="shared" si="4"/>
        <v>3.472222222222221E-2</v>
      </c>
      <c r="S16" s="39">
        <f t="shared" si="5"/>
        <v>3.472222222222221E-2</v>
      </c>
    </row>
    <row r="17" spans="1:19" s="19" customFormat="1" ht="12.75" customHeight="1">
      <c r="A17" s="14">
        <v>14</v>
      </c>
      <c r="B17" s="15">
        <v>0.60416666666666663</v>
      </c>
      <c r="C17" s="15">
        <f t="shared" si="2"/>
        <v>0.63888888888888884</v>
      </c>
      <c r="D17" s="15">
        <f t="shared" si="6"/>
        <v>2.083333333333337E-2</v>
      </c>
      <c r="E17" s="15">
        <f t="shared" si="7"/>
        <v>2.083333333333337E-2</v>
      </c>
      <c r="F17" s="15">
        <v>0.60416666666666663</v>
      </c>
      <c r="G17" s="15">
        <f t="shared" si="3"/>
        <v>0.63888888888888884</v>
      </c>
      <c r="H17" s="16">
        <f t="shared" si="8"/>
        <v>6.9444444444445308E-3</v>
      </c>
      <c r="I17" s="16">
        <f t="shared" si="9"/>
        <v>6.9444444444445308E-3</v>
      </c>
      <c r="J17" s="15">
        <v>0.60416666666666663</v>
      </c>
      <c r="K17" s="15">
        <v>0.63888888888888884</v>
      </c>
      <c r="L17" s="15">
        <v>0.60416666666666663</v>
      </c>
      <c r="M17" s="15">
        <v>0.63888888888888884</v>
      </c>
      <c r="N17" s="18">
        <f t="shared" si="0"/>
        <v>0</v>
      </c>
      <c r="O17" s="18">
        <f t="shared" si="0"/>
        <v>0</v>
      </c>
      <c r="P17" s="18">
        <f t="shared" si="1"/>
        <v>0</v>
      </c>
      <c r="Q17" s="18">
        <f t="shared" si="1"/>
        <v>0</v>
      </c>
      <c r="R17" s="39">
        <f t="shared" si="4"/>
        <v>3.472222222222221E-2</v>
      </c>
      <c r="S17" s="39">
        <f t="shared" si="5"/>
        <v>3.472222222222221E-2</v>
      </c>
    </row>
    <row r="18" spans="1:19" s="19" customFormat="1" ht="12.75" customHeight="1">
      <c r="A18" s="14">
        <v>15</v>
      </c>
      <c r="B18" s="15">
        <v>0.625</v>
      </c>
      <c r="C18" s="15">
        <f t="shared" si="2"/>
        <v>0.65972222222222221</v>
      </c>
      <c r="D18" s="15">
        <f t="shared" si="6"/>
        <v>2.083333333333337E-2</v>
      </c>
      <c r="E18" s="15">
        <f t="shared" si="7"/>
        <v>2.083333333333337E-2</v>
      </c>
      <c r="F18" s="15">
        <v>0.625</v>
      </c>
      <c r="G18" s="15">
        <f t="shared" si="3"/>
        <v>0.65972222222222221</v>
      </c>
      <c r="H18" s="16">
        <f t="shared" si="8"/>
        <v>6.9444444444445308E-3</v>
      </c>
      <c r="I18" s="16">
        <f t="shared" si="9"/>
        <v>6.9444444444445308E-3</v>
      </c>
      <c r="J18" s="15">
        <v>0.625</v>
      </c>
      <c r="K18" s="15">
        <v>0.65972222222222221</v>
      </c>
      <c r="L18" s="15">
        <v>0.625</v>
      </c>
      <c r="M18" s="15">
        <v>0.65972222222222221</v>
      </c>
      <c r="N18" s="18">
        <f t="shared" si="0"/>
        <v>0</v>
      </c>
      <c r="O18" s="18">
        <f t="shared" si="0"/>
        <v>0</v>
      </c>
      <c r="P18" s="18">
        <f t="shared" si="1"/>
        <v>0</v>
      </c>
      <c r="Q18" s="18">
        <f t="shared" si="1"/>
        <v>0</v>
      </c>
      <c r="R18" s="39">
        <f t="shared" si="4"/>
        <v>3.472222222222221E-2</v>
      </c>
      <c r="S18" s="39">
        <f t="shared" si="5"/>
        <v>3.472222222222221E-2</v>
      </c>
    </row>
    <row r="19" spans="1:19" s="19" customFormat="1" ht="12.75" customHeight="1">
      <c r="A19" s="14">
        <v>16</v>
      </c>
      <c r="B19" s="15">
        <v>0.64583333333333337</v>
      </c>
      <c r="C19" s="15">
        <f t="shared" si="2"/>
        <v>0.68055555555555558</v>
      </c>
      <c r="D19" s="15">
        <f t="shared" si="6"/>
        <v>2.083333333333337E-2</v>
      </c>
      <c r="E19" s="15">
        <f t="shared" si="7"/>
        <v>2.083333333333337E-2</v>
      </c>
      <c r="F19" s="15">
        <v>0.64583333333333337</v>
      </c>
      <c r="G19" s="15">
        <f t="shared" si="3"/>
        <v>0.68055555555555558</v>
      </c>
      <c r="H19" s="16">
        <f t="shared" si="8"/>
        <v>6.9444444444445308E-3</v>
      </c>
      <c r="I19" s="16">
        <f t="shared" si="9"/>
        <v>6.9444444444445308E-3</v>
      </c>
      <c r="J19" s="15">
        <v>0.64583333333333337</v>
      </c>
      <c r="K19" s="15">
        <v>0.68055555555555558</v>
      </c>
      <c r="L19" s="15">
        <v>0.64583333333333337</v>
      </c>
      <c r="M19" s="15">
        <v>0.68055555555555558</v>
      </c>
      <c r="N19" s="18">
        <f t="shared" si="0"/>
        <v>0</v>
      </c>
      <c r="O19" s="18">
        <f t="shared" si="0"/>
        <v>0</v>
      </c>
      <c r="P19" s="18">
        <f t="shared" si="1"/>
        <v>0</v>
      </c>
      <c r="Q19" s="18">
        <f t="shared" si="1"/>
        <v>0</v>
      </c>
      <c r="R19" s="39">
        <f t="shared" si="4"/>
        <v>3.472222222222221E-2</v>
      </c>
      <c r="S19" s="39">
        <f t="shared" si="5"/>
        <v>3.472222222222221E-2</v>
      </c>
    </row>
    <row r="20" spans="1:19" s="19" customFormat="1" ht="12.75" customHeight="1">
      <c r="A20" s="14">
        <v>17</v>
      </c>
      <c r="B20" s="15">
        <v>0.66666666666666674</v>
      </c>
      <c r="C20" s="15">
        <f t="shared" si="2"/>
        <v>0.70138888888888895</v>
      </c>
      <c r="D20" s="15">
        <f t="shared" si="6"/>
        <v>2.083333333333337E-2</v>
      </c>
      <c r="E20" s="15">
        <f t="shared" si="7"/>
        <v>2.083333333333337E-2</v>
      </c>
      <c r="F20" s="15">
        <v>0.66666666666666674</v>
      </c>
      <c r="G20" s="15">
        <f t="shared" si="3"/>
        <v>0.70138888888888895</v>
      </c>
      <c r="H20" s="16">
        <f t="shared" si="8"/>
        <v>6.9444444444445308E-3</v>
      </c>
      <c r="I20" s="16">
        <f t="shared" si="9"/>
        <v>6.9444444444445308E-3</v>
      </c>
      <c r="J20" s="15">
        <v>0.66666666666666674</v>
      </c>
      <c r="K20" s="15">
        <v>0.70138888888888895</v>
      </c>
      <c r="L20" s="15">
        <v>0.66666666666666674</v>
      </c>
      <c r="M20" s="15">
        <v>0.70138888888888895</v>
      </c>
      <c r="N20" s="18">
        <f t="shared" si="0"/>
        <v>0</v>
      </c>
      <c r="O20" s="18">
        <f t="shared" si="0"/>
        <v>0</v>
      </c>
      <c r="P20" s="18">
        <f t="shared" si="1"/>
        <v>0</v>
      </c>
      <c r="Q20" s="18">
        <f t="shared" si="1"/>
        <v>0</v>
      </c>
      <c r="R20" s="39">
        <f t="shared" si="4"/>
        <v>3.472222222222221E-2</v>
      </c>
      <c r="S20" s="39">
        <f t="shared" si="5"/>
        <v>3.472222222222221E-2</v>
      </c>
    </row>
    <row r="21" spans="1:19" s="19" customFormat="1" ht="12.75" customHeight="1">
      <c r="A21" s="14">
        <v>18</v>
      </c>
      <c r="B21" s="15">
        <v>0.68750000000000011</v>
      </c>
      <c r="C21" s="15">
        <f t="shared" si="2"/>
        <v>0.72222222222222232</v>
      </c>
      <c r="D21" s="15">
        <f t="shared" si="6"/>
        <v>2.083333333333337E-2</v>
      </c>
      <c r="E21" s="15">
        <f t="shared" si="7"/>
        <v>2.083333333333337E-2</v>
      </c>
      <c r="F21" s="15">
        <v>0.68750000000000011</v>
      </c>
      <c r="G21" s="15">
        <f t="shared" si="3"/>
        <v>0.72222222222222232</v>
      </c>
      <c r="H21" s="16">
        <f t="shared" si="8"/>
        <v>6.9444444444445308E-3</v>
      </c>
      <c r="I21" s="16">
        <f t="shared" si="9"/>
        <v>6.9444444444445308E-3</v>
      </c>
      <c r="J21" s="15">
        <v>0.68750000000000011</v>
      </c>
      <c r="K21" s="15">
        <v>0.72222222222222232</v>
      </c>
      <c r="L21" s="15">
        <v>0.68750000000000011</v>
      </c>
      <c r="M21" s="15">
        <v>0.72222222222222232</v>
      </c>
      <c r="N21" s="18">
        <f t="shared" si="0"/>
        <v>0</v>
      </c>
      <c r="O21" s="18">
        <f t="shared" si="0"/>
        <v>0</v>
      </c>
      <c r="P21" s="18">
        <f t="shared" si="1"/>
        <v>0</v>
      </c>
      <c r="Q21" s="18">
        <f t="shared" si="1"/>
        <v>0</v>
      </c>
      <c r="R21" s="39">
        <f t="shared" si="4"/>
        <v>3.472222222222221E-2</v>
      </c>
      <c r="S21" s="39">
        <f t="shared" si="5"/>
        <v>3.472222222222221E-2</v>
      </c>
    </row>
    <row r="22" spans="1:19" s="19" customFormat="1" ht="12.75" customHeight="1">
      <c r="A22" s="14">
        <v>19</v>
      </c>
      <c r="B22" s="15">
        <v>0.70833333333333348</v>
      </c>
      <c r="C22" s="15">
        <f t="shared" si="2"/>
        <v>0.74305555555555569</v>
      </c>
      <c r="D22" s="15">
        <f t="shared" ref="D22" si="10">B22-B21</f>
        <v>2.083333333333337E-2</v>
      </c>
      <c r="E22" s="15">
        <f t="shared" ref="E22" si="11">F22-F21</f>
        <v>2.083333333333337E-2</v>
      </c>
      <c r="F22" s="15">
        <v>0.70833333333333348</v>
      </c>
      <c r="G22" s="15">
        <f t="shared" si="3"/>
        <v>0.74305555555555569</v>
      </c>
      <c r="H22" s="16">
        <f t="shared" si="8"/>
        <v>6.9444444444445308E-3</v>
      </c>
      <c r="I22" s="16">
        <f t="shared" si="9"/>
        <v>6.9444444444445308E-3</v>
      </c>
      <c r="J22" s="15">
        <v>0.70833333333333348</v>
      </c>
      <c r="K22" s="15">
        <v>0.74305555555555569</v>
      </c>
      <c r="L22" s="15">
        <v>0.70833333333333348</v>
      </c>
      <c r="M22" s="15">
        <v>0.74305555555555569</v>
      </c>
      <c r="N22" s="18">
        <f t="shared" ref="N22:O22" si="12">J22-B22</f>
        <v>0</v>
      </c>
      <c r="O22" s="18">
        <f t="shared" si="12"/>
        <v>0</v>
      </c>
      <c r="P22" s="18">
        <f t="shared" ref="P22:Q22" si="13">L22-F22</f>
        <v>0</v>
      </c>
      <c r="Q22" s="18">
        <f t="shared" si="13"/>
        <v>0</v>
      </c>
      <c r="R22" s="39">
        <f t="shared" si="4"/>
        <v>3.472222222222221E-2</v>
      </c>
      <c r="S22" s="39">
        <f t="shared" si="5"/>
        <v>3.472222222222221E-2</v>
      </c>
    </row>
    <row r="23" spans="1:19" s="19" customFormat="1" ht="12.75" customHeight="1">
      <c r="A23" s="35"/>
      <c r="B23" s="36"/>
      <c r="C23" s="36"/>
      <c r="D23" s="36"/>
      <c r="E23" s="36"/>
      <c r="F23" s="36"/>
      <c r="G23" s="36"/>
      <c r="H23" s="16"/>
      <c r="I23" s="16"/>
      <c r="J23" s="36"/>
      <c r="K23" s="36"/>
      <c r="L23" s="36"/>
      <c r="M23" s="36"/>
      <c r="N23" s="16"/>
      <c r="O23" s="16"/>
      <c r="P23" s="16"/>
      <c r="Q23" s="16"/>
    </row>
    <row r="24" spans="1:19" ht="16.5" customHeight="1">
      <c r="A24" s="17"/>
      <c r="B24" s="20" t="s">
        <v>2</v>
      </c>
      <c r="C24" s="21">
        <f>A22*2</f>
        <v>38</v>
      </c>
      <c r="D24" s="22"/>
      <c r="E24" s="23"/>
      <c r="F24" s="24" t="s">
        <v>3</v>
      </c>
      <c r="G24" s="25"/>
      <c r="H24" s="17"/>
      <c r="I24" s="16"/>
      <c r="J24" s="17"/>
      <c r="K24" s="17"/>
    </row>
    <row r="25" spans="1:19" ht="17.25" customHeight="1">
      <c r="A25" s="17"/>
      <c r="B25" s="28" t="s">
        <v>4</v>
      </c>
      <c r="C25" s="21">
        <v>50</v>
      </c>
      <c r="D25" s="17"/>
      <c r="E25" s="25"/>
      <c r="F25" s="28" t="s">
        <v>5</v>
      </c>
      <c r="G25" s="26"/>
      <c r="H25" s="17"/>
      <c r="I25" s="16"/>
      <c r="J25" s="17"/>
      <c r="K25" s="17"/>
    </row>
    <row r="26" spans="1:19" ht="17.25" customHeight="1">
      <c r="A26" s="17"/>
      <c r="B26" s="28" t="s">
        <v>6</v>
      </c>
      <c r="C26" s="29"/>
      <c r="D26" s="17"/>
      <c r="E26" s="30"/>
      <c r="F26" s="28"/>
      <c r="G26" s="26"/>
      <c r="H26" s="17"/>
      <c r="I26" s="16"/>
      <c r="J26" s="17"/>
      <c r="K26" s="17"/>
    </row>
    <row r="27" spans="1:19" ht="17.25" customHeight="1">
      <c r="A27" s="17"/>
      <c r="B27" s="28" t="s">
        <v>7</v>
      </c>
      <c r="C27" s="21">
        <f>HOUR(MIN(D5:E22))*60+MINUTE(MIN(D5:E22))</f>
        <v>30</v>
      </c>
      <c r="D27" s="17"/>
      <c r="E27" s="31"/>
      <c r="F27" s="28" t="s">
        <v>5</v>
      </c>
      <c r="G27" s="26"/>
      <c r="H27" s="17"/>
      <c r="I27" s="16"/>
      <c r="J27" s="17"/>
      <c r="K27" s="17"/>
    </row>
    <row r="28" spans="1:19" ht="17.25" customHeight="1">
      <c r="A28" s="17"/>
      <c r="B28" s="28" t="s">
        <v>8</v>
      </c>
      <c r="C28" s="21">
        <f>HOUR(MAX(D5:E22))*60+MINUTE(MAX(D5:E22))</f>
        <v>30</v>
      </c>
      <c r="D28" s="17"/>
      <c r="E28" s="26"/>
      <c r="F28" s="28" t="s">
        <v>5</v>
      </c>
      <c r="G28" s="26"/>
      <c r="H28" s="17"/>
      <c r="I28" s="16"/>
      <c r="J28" s="17"/>
      <c r="K28" s="17"/>
    </row>
    <row r="29" spans="1:19">
      <c r="A29" s="17"/>
      <c r="B29" s="17"/>
      <c r="C29" s="17"/>
      <c r="D29" s="17"/>
      <c r="E29" s="32"/>
      <c r="F29" s="17"/>
      <c r="G29" s="26"/>
      <c r="H29" s="17"/>
      <c r="I29" s="17"/>
      <c r="J29" s="17"/>
      <c r="K29" s="17"/>
    </row>
    <row r="30" spans="1:19" hidden="1">
      <c r="A30" s="33" t="s">
        <v>9</v>
      </c>
      <c r="B30" s="33"/>
      <c r="C30" s="33"/>
      <c r="D30" s="33"/>
      <c r="E30" s="33"/>
      <c r="F30" s="17"/>
      <c r="G30" s="26"/>
      <c r="H30" s="17"/>
      <c r="I30" s="17"/>
      <c r="J30" s="17"/>
      <c r="K30" s="17"/>
    </row>
    <row r="31" spans="1:19" hidden="1">
      <c r="A31" s="34" t="s">
        <v>10</v>
      </c>
      <c r="B31" s="34"/>
      <c r="C31" s="34"/>
      <c r="D31" s="34"/>
      <c r="E31" s="34"/>
    </row>
  </sheetData>
  <autoFilter ref="A1:S22" xr:uid="{00000000-0009-0000-0000-000002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2">
    <mergeCell ref="A1:G1"/>
    <mergeCell ref="A2:A3"/>
  </mergeCells>
  <conditionalFormatting sqref="H4:I22">
    <cfRule type="cellIs" dxfId="4" priority="1" operator="lessThan">
      <formula>0.00277777777777778</formula>
    </cfRule>
  </conditionalFormatting>
  <pageMargins left="0.70866141732283505" right="0.70866141732283505" top="0.57999999999999996" bottom="0.74803149606299202" header="0.31496062992126" footer="0.31496062992126"/>
  <pageSetup paperSize="9" firstPageNumber="6" fitToWidth="0" orientation="portrait" useFirstPageNumber="1" r:id="rId1"/>
  <headerFooter alignWithMargins="0">
    <oddHeader>&amp;C&amp;P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3B25-DB62-47DD-ACA1-1BCB274B2F9A}">
  <dimension ref="A1:W78"/>
  <sheetViews>
    <sheetView tabSelected="1" zoomScale="115" zoomScaleNormal="115" workbookViewId="0">
      <selection activeCell="A2" sqref="A2:G2"/>
    </sheetView>
  </sheetViews>
  <sheetFormatPr defaultColWidth="10.28515625" defaultRowHeight="15.75"/>
  <cols>
    <col min="1" max="1" width="8.140625" style="27" customWidth="1"/>
    <col min="2" max="2" width="20" style="27" customWidth="1"/>
    <col min="3" max="3" width="18.28515625" style="27" customWidth="1"/>
    <col min="4" max="5" width="7.42578125" style="27" hidden="1" customWidth="1"/>
    <col min="6" max="6" width="19" style="27" customWidth="1"/>
    <col min="7" max="7" width="19.85546875" style="27" customWidth="1"/>
    <col min="8" max="9" width="6" style="27" hidden="1" customWidth="1"/>
    <col min="10" max="17" width="5.7109375" style="27" hidden="1" customWidth="1"/>
    <col min="18" max="19" width="6.5703125" style="27" hidden="1" customWidth="1"/>
    <col min="20" max="23" width="10.28515625" style="27" hidden="1" customWidth="1"/>
    <col min="24" max="25" width="10.28515625" style="27" customWidth="1"/>
    <col min="26" max="16384" width="10.28515625" style="27"/>
  </cols>
  <sheetData>
    <row r="1" spans="1:19" s="2" customFormat="1" ht="102" customHeight="1">
      <c r="A1" s="49" t="s">
        <v>24</v>
      </c>
      <c r="B1" s="49"/>
      <c r="C1" s="49"/>
      <c r="D1" s="49"/>
      <c r="E1" s="49"/>
      <c r="F1" s="49"/>
      <c r="G1" s="49"/>
      <c r="H1" s="16">
        <f>MIN($H$4:$H$69)</f>
        <v>6.2500000000001443E-3</v>
      </c>
      <c r="I1" s="16">
        <f>MIN($I$5:$I$69)</f>
        <v>8.3333333333331927E-3</v>
      </c>
      <c r="J1" s="1"/>
      <c r="K1" s="1"/>
      <c r="S1" s="2" t="str">
        <f>_xlfn.TEXTJOIN("-",TRUE,R3:S3)</f>
        <v>50-60</v>
      </c>
    </row>
    <row r="2" spans="1:19" s="2" customFormat="1" ht="36" customHeight="1">
      <c r="A2" s="50" t="s">
        <v>26</v>
      </c>
      <c r="B2" s="50"/>
      <c r="C2" s="50"/>
      <c r="D2" s="50"/>
      <c r="E2" s="50"/>
      <c r="F2" s="50"/>
      <c r="G2" s="50"/>
      <c r="H2" s="16">
        <v>3.4722222222222224E-2</v>
      </c>
      <c r="I2" s="16"/>
      <c r="J2" s="1"/>
      <c r="K2" s="1"/>
    </row>
    <row r="3" spans="1:19" s="7" customFormat="1" ht="17.25" customHeight="1">
      <c r="A3" s="46" t="s">
        <v>0</v>
      </c>
      <c r="B3" s="43" t="s">
        <v>12</v>
      </c>
      <c r="C3" s="44"/>
      <c r="D3" s="5"/>
      <c r="E3" s="5"/>
      <c r="F3" s="43" t="s">
        <v>13</v>
      </c>
      <c r="G3" s="44"/>
      <c r="H3" s="16">
        <v>4.1666666666666664E-2</v>
      </c>
      <c r="I3" s="6">
        <f>COUNTBLANK($H$5:$I$44)</f>
        <v>12</v>
      </c>
      <c r="J3" s="40"/>
      <c r="K3" s="6"/>
      <c r="R3" s="7">
        <f>HOUR(MIN($R$5:$S$69))*60+MINUTE(MIN($R$5:$S$69))</f>
        <v>50</v>
      </c>
      <c r="S3" s="7">
        <f>HOUR(MAX($R$5:$S$69))*60+MINUTE(MAX($R$5:$S$69))</f>
        <v>60</v>
      </c>
    </row>
    <row r="4" spans="1:19" s="13" customFormat="1" ht="42" customHeight="1">
      <c r="A4" s="47"/>
      <c r="B4" s="8" t="s">
        <v>15</v>
      </c>
      <c r="C4" s="9" t="s">
        <v>11</v>
      </c>
      <c r="D4" s="10" t="s">
        <v>1</v>
      </c>
      <c r="E4" s="10" t="s">
        <v>1</v>
      </c>
      <c r="F4" s="9" t="s">
        <v>16</v>
      </c>
      <c r="G4" s="11" t="s">
        <v>17</v>
      </c>
      <c r="H4" s="16">
        <v>4.8611111111111112E-2</v>
      </c>
      <c r="I4" s="16"/>
      <c r="J4" s="12"/>
      <c r="K4" s="12"/>
    </row>
    <row r="5" spans="1:19" s="19" customFormat="1" ht="15.95" customHeight="1">
      <c r="A5" s="41">
        <f>MAX($A$4:A4)+1</f>
        <v>1</v>
      </c>
      <c r="B5" s="42">
        <v>0.20833333333333334</v>
      </c>
      <c r="C5" s="42">
        <f t="shared" ref="C5:C10" si="0">B5+$H$2</f>
        <v>0.24305555555555558</v>
      </c>
      <c r="D5" s="42"/>
      <c r="E5" s="42"/>
      <c r="F5" s="42">
        <v>0.20833333333333334</v>
      </c>
      <c r="G5" s="42">
        <f t="shared" ref="G5:G10" si="1">F5+$H$2</f>
        <v>0.24305555555555558</v>
      </c>
      <c r="J5" s="15">
        <v>0.20833333333333334</v>
      </c>
      <c r="K5" s="15">
        <v>0.24305555555555558</v>
      </c>
      <c r="L5" s="15">
        <v>0.20833333333333334</v>
      </c>
      <c r="M5" s="45">
        <v>0.24305555555555558</v>
      </c>
      <c r="N5" s="16">
        <f t="shared" ref="N5:O24" si="2">J5-B5</f>
        <v>0</v>
      </c>
      <c r="O5" s="16">
        <f t="shared" si="2"/>
        <v>0</v>
      </c>
      <c r="P5" s="16">
        <f t="shared" ref="P5:Q24" si="3">L5-F5</f>
        <v>0</v>
      </c>
      <c r="Q5" s="16">
        <f t="shared" si="3"/>
        <v>0</v>
      </c>
      <c r="R5" s="39">
        <f>K5-J5</f>
        <v>3.4722222222222238E-2</v>
      </c>
      <c r="S5" s="39">
        <f>M5-L5</f>
        <v>3.4722222222222238E-2</v>
      </c>
    </row>
    <row r="6" spans="1:19" s="19" customFormat="1" ht="15.95" customHeight="1">
      <c r="A6" s="41">
        <f>MAX($A$4:A5)+1</f>
        <v>2</v>
      </c>
      <c r="B6" s="42">
        <v>0.21666666666666667</v>
      </c>
      <c r="C6" s="42">
        <f t="shared" si="0"/>
        <v>0.25138888888888888</v>
      </c>
      <c r="D6" s="42">
        <f>B6-B5</f>
        <v>8.3333333333333315E-3</v>
      </c>
      <c r="E6" s="42">
        <f>F6-F5</f>
        <v>1.0416666666666657E-2</v>
      </c>
      <c r="F6" s="42">
        <v>0.21875</v>
      </c>
      <c r="G6" s="42">
        <f t="shared" si="1"/>
        <v>0.25347222222222221</v>
      </c>
      <c r="H6" s="38"/>
      <c r="I6" s="17"/>
      <c r="J6" s="15">
        <v>0.21666666666666667</v>
      </c>
      <c r="K6" s="15">
        <v>0.25138888888888888</v>
      </c>
      <c r="L6" s="15">
        <v>0.21875</v>
      </c>
      <c r="M6" s="45">
        <v>0.25347222222222221</v>
      </c>
      <c r="N6" s="16">
        <f t="shared" si="2"/>
        <v>0</v>
      </c>
      <c r="O6" s="16">
        <f t="shared" si="2"/>
        <v>0</v>
      </c>
      <c r="P6" s="16">
        <f t="shared" si="3"/>
        <v>0</v>
      </c>
      <c r="Q6" s="16">
        <f t="shared" si="3"/>
        <v>0</v>
      </c>
      <c r="R6" s="39">
        <f t="shared" ref="R6:R68" si="4">K6-J6</f>
        <v>3.472222222222221E-2</v>
      </c>
      <c r="S6" s="39">
        <f t="shared" ref="S6:S68" si="5">M6-L6</f>
        <v>3.472222222222221E-2</v>
      </c>
    </row>
    <row r="7" spans="1:19" s="19" customFormat="1" ht="15.95" customHeight="1">
      <c r="A7" s="41">
        <f>MAX($A$4:A6)+1</f>
        <v>3</v>
      </c>
      <c r="B7" s="42">
        <v>0.22500000000000001</v>
      </c>
      <c r="C7" s="42">
        <f t="shared" si="0"/>
        <v>0.25972222222222224</v>
      </c>
      <c r="D7" s="42">
        <f t="shared" ref="D7:D69" si="6">B7-B6</f>
        <v>8.3333333333333315E-3</v>
      </c>
      <c r="E7" s="42">
        <f t="shared" ref="E7:E69" si="7">F7-F6</f>
        <v>8.3333333333333315E-3</v>
      </c>
      <c r="F7" s="42">
        <v>0.22708333333333333</v>
      </c>
      <c r="G7" s="42">
        <f t="shared" si="1"/>
        <v>0.26180555555555557</v>
      </c>
      <c r="H7" s="38"/>
      <c r="I7" s="17"/>
      <c r="J7" s="15">
        <v>0.22500000000000001</v>
      </c>
      <c r="K7" s="15">
        <v>0.25972222222222224</v>
      </c>
      <c r="L7" s="15">
        <v>0.22708333333333333</v>
      </c>
      <c r="M7" s="45">
        <v>0.26180555555555557</v>
      </c>
      <c r="N7" s="16">
        <f t="shared" si="2"/>
        <v>0</v>
      </c>
      <c r="O7" s="16">
        <f t="shared" si="2"/>
        <v>0</v>
      </c>
      <c r="P7" s="16">
        <f t="shared" si="3"/>
        <v>0</v>
      </c>
      <c r="Q7" s="16">
        <f t="shared" si="3"/>
        <v>0</v>
      </c>
      <c r="R7" s="39">
        <f t="shared" si="4"/>
        <v>3.4722222222222238E-2</v>
      </c>
      <c r="S7" s="39">
        <f t="shared" si="5"/>
        <v>3.4722222222222238E-2</v>
      </c>
    </row>
    <row r="8" spans="1:19" s="19" customFormat="1" ht="15.95" customHeight="1">
      <c r="A8" s="41">
        <f>MAX($A$4:A7)+1</f>
        <v>4</v>
      </c>
      <c r="B8" s="42">
        <v>0.23333333333333334</v>
      </c>
      <c r="C8" s="42">
        <f t="shared" si="0"/>
        <v>0.26805555555555555</v>
      </c>
      <c r="D8" s="42">
        <f t="shared" si="6"/>
        <v>8.3333333333333315E-3</v>
      </c>
      <c r="E8" s="42">
        <f t="shared" si="7"/>
        <v>8.3333333333333315E-3</v>
      </c>
      <c r="F8" s="42">
        <v>0.23541666666666666</v>
      </c>
      <c r="G8" s="42">
        <f t="shared" si="1"/>
        <v>0.27013888888888887</v>
      </c>
      <c r="H8" s="16"/>
      <c r="I8" s="17"/>
      <c r="J8" s="15">
        <v>0.23333333333333334</v>
      </c>
      <c r="K8" s="15">
        <v>0.26805555555555555</v>
      </c>
      <c r="L8" s="15">
        <v>0.23541666666666666</v>
      </c>
      <c r="M8" s="45">
        <v>0.27013888888888887</v>
      </c>
      <c r="N8" s="16">
        <f t="shared" si="2"/>
        <v>0</v>
      </c>
      <c r="O8" s="16">
        <f t="shared" si="2"/>
        <v>0</v>
      </c>
      <c r="P8" s="16">
        <f t="shared" si="3"/>
        <v>0</v>
      </c>
      <c r="Q8" s="16">
        <f t="shared" si="3"/>
        <v>0</v>
      </c>
      <c r="R8" s="39">
        <f t="shared" si="4"/>
        <v>3.472222222222221E-2</v>
      </c>
      <c r="S8" s="39">
        <f t="shared" si="5"/>
        <v>3.472222222222221E-2</v>
      </c>
    </row>
    <row r="9" spans="1:19" s="19" customFormat="1" ht="15.95" customHeight="1">
      <c r="A9" s="41">
        <f>MAX($A$4:A8)+1</f>
        <v>5</v>
      </c>
      <c r="B9" s="42">
        <v>0.24166666666666667</v>
      </c>
      <c r="C9" s="42">
        <f t="shared" si="0"/>
        <v>0.27638888888888891</v>
      </c>
      <c r="D9" s="42">
        <f t="shared" si="6"/>
        <v>8.3333333333333315E-3</v>
      </c>
      <c r="E9" s="42">
        <f t="shared" si="7"/>
        <v>8.3333333333333315E-3</v>
      </c>
      <c r="F9" s="42">
        <v>0.24374999999999999</v>
      </c>
      <c r="G9" s="42">
        <f t="shared" si="1"/>
        <v>0.27847222222222223</v>
      </c>
      <c r="H9" s="16"/>
      <c r="I9" s="16"/>
      <c r="J9" s="15">
        <v>0.24166666666666667</v>
      </c>
      <c r="K9" s="15">
        <v>0.27638888888888891</v>
      </c>
      <c r="L9" s="15">
        <v>0.24374999999999999</v>
      </c>
      <c r="M9" s="45">
        <v>0.27847222222222223</v>
      </c>
      <c r="N9" s="16">
        <f t="shared" si="2"/>
        <v>0</v>
      </c>
      <c r="O9" s="16">
        <f t="shared" si="2"/>
        <v>0</v>
      </c>
      <c r="P9" s="16">
        <f t="shared" si="3"/>
        <v>0</v>
      </c>
      <c r="Q9" s="16">
        <f t="shared" si="3"/>
        <v>0</v>
      </c>
      <c r="R9" s="39">
        <f t="shared" si="4"/>
        <v>3.4722222222222238E-2</v>
      </c>
      <c r="S9" s="39">
        <f t="shared" si="5"/>
        <v>3.4722222222222238E-2</v>
      </c>
    </row>
    <row r="10" spans="1:19" s="19" customFormat="1" ht="15.95" customHeight="1">
      <c r="A10" s="41">
        <f>MAX($A$4:A9)+1</f>
        <v>6</v>
      </c>
      <c r="B10" s="42">
        <v>0.25</v>
      </c>
      <c r="C10" s="42">
        <f t="shared" si="0"/>
        <v>0.28472222222222221</v>
      </c>
      <c r="D10" s="42">
        <f t="shared" si="6"/>
        <v>8.3333333333333315E-3</v>
      </c>
      <c r="E10" s="42">
        <f t="shared" si="7"/>
        <v>8.3333333333333315E-3</v>
      </c>
      <c r="F10" s="42">
        <v>0.25208333333333333</v>
      </c>
      <c r="G10" s="42">
        <f t="shared" si="1"/>
        <v>0.28680555555555554</v>
      </c>
      <c r="H10" s="16"/>
      <c r="I10" s="16"/>
      <c r="J10" s="15">
        <v>0.25</v>
      </c>
      <c r="K10" s="15">
        <v>0.28472222222222221</v>
      </c>
      <c r="L10" s="15">
        <v>0.25208333333333333</v>
      </c>
      <c r="M10" s="45">
        <v>0.28680555555555554</v>
      </c>
      <c r="N10" s="16">
        <f t="shared" si="2"/>
        <v>0</v>
      </c>
      <c r="O10" s="16">
        <f t="shared" si="2"/>
        <v>0</v>
      </c>
      <c r="P10" s="16">
        <f t="shared" si="3"/>
        <v>0</v>
      </c>
      <c r="Q10" s="16">
        <f t="shared" si="3"/>
        <v>0</v>
      </c>
      <c r="R10" s="39">
        <f t="shared" si="4"/>
        <v>3.472222222222221E-2</v>
      </c>
      <c r="S10" s="39">
        <f t="shared" si="5"/>
        <v>3.472222222222221E-2</v>
      </c>
    </row>
    <row r="11" spans="1:19" s="19" customFormat="1" ht="15.95" customHeight="1">
      <c r="A11" s="41">
        <f>MAX($A$4:A10)+1</f>
        <v>7</v>
      </c>
      <c r="B11" s="42">
        <v>0.25833333333333336</v>
      </c>
      <c r="C11" s="42">
        <f t="shared" ref="C11:C68" si="8">B11+$H$3</f>
        <v>0.30000000000000004</v>
      </c>
      <c r="D11" s="42">
        <f t="shared" si="6"/>
        <v>8.3333333333333592E-3</v>
      </c>
      <c r="E11" s="42">
        <f t="shared" si="7"/>
        <v>8.3333333333333592E-3</v>
      </c>
      <c r="F11" s="42">
        <v>0.26041666666666669</v>
      </c>
      <c r="G11" s="42">
        <f t="shared" ref="G11:G68" si="9">F11+$H$3</f>
        <v>0.30208333333333337</v>
      </c>
      <c r="H11" s="16">
        <f>B11-G5</f>
        <v>1.5277777777777779E-2</v>
      </c>
      <c r="I11" s="16">
        <f>F11-C5</f>
        <v>1.7361111111111105E-2</v>
      </c>
      <c r="J11" s="15">
        <v>0.25833333333333336</v>
      </c>
      <c r="K11" s="15">
        <v>0.30000000000000004</v>
      </c>
      <c r="L11" s="15">
        <v>0.26041666666666669</v>
      </c>
      <c r="M11" s="45">
        <v>0.30208333333333337</v>
      </c>
      <c r="N11" s="16">
        <f t="shared" si="2"/>
        <v>0</v>
      </c>
      <c r="O11" s="16">
        <f t="shared" si="2"/>
        <v>0</v>
      </c>
      <c r="P11" s="16">
        <f t="shared" si="3"/>
        <v>0</v>
      </c>
      <c r="Q11" s="16">
        <f t="shared" si="3"/>
        <v>0</v>
      </c>
      <c r="R11" s="39">
        <f t="shared" si="4"/>
        <v>4.1666666666666685E-2</v>
      </c>
      <c r="S11" s="39">
        <f t="shared" si="5"/>
        <v>4.1666666666666685E-2</v>
      </c>
    </row>
    <row r="12" spans="1:19" s="19" customFormat="1" ht="15.95" customHeight="1">
      <c r="A12" s="41">
        <f>MAX($A$4:A11)+1</f>
        <v>8</v>
      </c>
      <c r="B12" s="42">
        <v>0.26666666666666672</v>
      </c>
      <c r="C12" s="42">
        <f t="shared" si="8"/>
        <v>0.3083333333333334</v>
      </c>
      <c r="D12" s="42">
        <f t="shared" si="6"/>
        <v>8.3333333333333592E-3</v>
      </c>
      <c r="E12" s="42">
        <f t="shared" si="7"/>
        <v>8.3333333333333592E-3</v>
      </c>
      <c r="F12" s="42">
        <v>0.26875000000000004</v>
      </c>
      <c r="G12" s="42">
        <f t="shared" si="9"/>
        <v>0.31041666666666673</v>
      </c>
      <c r="H12" s="16">
        <f t="shared" ref="H12:H69" si="10">B12-G6</f>
        <v>1.3194444444444509E-2</v>
      </c>
      <c r="I12" s="16">
        <f t="shared" ref="I12:I69" si="11">F12-C6</f>
        <v>1.736111111111116E-2</v>
      </c>
      <c r="J12" s="15">
        <v>0.26666666666666672</v>
      </c>
      <c r="K12" s="15">
        <v>0.3083333333333334</v>
      </c>
      <c r="L12" s="15">
        <v>0.26875000000000004</v>
      </c>
      <c r="M12" s="45">
        <v>0.31041666666666673</v>
      </c>
      <c r="N12" s="16">
        <f t="shared" si="2"/>
        <v>0</v>
      </c>
      <c r="O12" s="16">
        <f t="shared" si="2"/>
        <v>0</v>
      </c>
      <c r="P12" s="16">
        <f t="shared" si="3"/>
        <v>0</v>
      </c>
      <c r="Q12" s="16">
        <f t="shared" si="3"/>
        <v>0</v>
      </c>
      <c r="R12" s="39">
        <f t="shared" si="4"/>
        <v>4.1666666666666685E-2</v>
      </c>
      <c r="S12" s="39">
        <f t="shared" si="5"/>
        <v>4.1666666666666685E-2</v>
      </c>
    </row>
    <row r="13" spans="1:19" s="19" customFormat="1" ht="15.95" customHeight="1">
      <c r="A13" s="41">
        <f>MAX($A$4:A12)+1</f>
        <v>9</v>
      </c>
      <c r="B13" s="42">
        <v>0.27500000000000008</v>
      </c>
      <c r="C13" s="42">
        <f t="shared" si="8"/>
        <v>0.31666666666666676</v>
      </c>
      <c r="D13" s="42">
        <f t="shared" si="6"/>
        <v>8.3333333333333592E-3</v>
      </c>
      <c r="E13" s="42">
        <f t="shared" si="7"/>
        <v>8.3333333333333592E-3</v>
      </c>
      <c r="F13" s="42">
        <v>0.2770833333333334</v>
      </c>
      <c r="G13" s="42">
        <f t="shared" si="9"/>
        <v>0.31875000000000009</v>
      </c>
      <c r="H13" s="16">
        <f t="shared" si="10"/>
        <v>1.3194444444444509E-2</v>
      </c>
      <c r="I13" s="16">
        <f t="shared" si="11"/>
        <v>1.736111111111116E-2</v>
      </c>
      <c r="J13" s="15">
        <v>0.27500000000000008</v>
      </c>
      <c r="K13" s="15">
        <v>0.31666666666666676</v>
      </c>
      <c r="L13" s="15">
        <v>0.2770833333333334</v>
      </c>
      <c r="M13" s="45">
        <v>0.31875000000000009</v>
      </c>
      <c r="N13" s="16">
        <f t="shared" si="2"/>
        <v>0</v>
      </c>
      <c r="O13" s="16">
        <f t="shared" si="2"/>
        <v>0</v>
      </c>
      <c r="P13" s="16">
        <f t="shared" si="3"/>
        <v>0</v>
      </c>
      <c r="Q13" s="16">
        <f t="shared" si="3"/>
        <v>0</v>
      </c>
      <c r="R13" s="39">
        <f t="shared" si="4"/>
        <v>4.1666666666666685E-2</v>
      </c>
      <c r="S13" s="39">
        <f t="shared" si="5"/>
        <v>4.1666666666666685E-2</v>
      </c>
    </row>
    <row r="14" spans="1:19" s="19" customFormat="1" ht="15.95" customHeight="1">
      <c r="A14" s="41">
        <f>MAX($A$4:A13)+1</f>
        <v>10</v>
      </c>
      <c r="B14" s="42">
        <v>0.28333333333333344</v>
      </c>
      <c r="C14" s="42">
        <f t="shared" si="8"/>
        <v>0.32500000000000012</v>
      </c>
      <c r="D14" s="42">
        <f t="shared" si="6"/>
        <v>8.3333333333333592E-3</v>
      </c>
      <c r="E14" s="42">
        <f t="shared" si="7"/>
        <v>8.3333333333333592E-3</v>
      </c>
      <c r="F14" s="42">
        <v>0.28541666666666676</v>
      </c>
      <c r="G14" s="42">
        <f t="shared" si="9"/>
        <v>0.32708333333333345</v>
      </c>
      <c r="H14" s="16">
        <f t="shared" si="10"/>
        <v>1.3194444444444564E-2</v>
      </c>
      <c r="I14" s="16">
        <f t="shared" si="11"/>
        <v>1.7361111111111216E-2</v>
      </c>
      <c r="J14" s="15">
        <v>0.28333333333333344</v>
      </c>
      <c r="K14" s="15">
        <v>0.32500000000000012</v>
      </c>
      <c r="L14" s="15">
        <v>0.28541666666666676</v>
      </c>
      <c r="M14" s="45">
        <v>0.32708333333333345</v>
      </c>
      <c r="N14" s="16">
        <f t="shared" si="2"/>
        <v>0</v>
      </c>
      <c r="O14" s="16">
        <f t="shared" si="2"/>
        <v>0</v>
      </c>
      <c r="P14" s="16">
        <f t="shared" si="3"/>
        <v>0</v>
      </c>
      <c r="Q14" s="16">
        <f t="shared" si="3"/>
        <v>0</v>
      </c>
      <c r="R14" s="39">
        <f t="shared" si="4"/>
        <v>4.1666666666666685E-2</v>
      </c>
      <c r="S14" s="39">
        <f t="shared" si="5"/>
        <v>4.1666666666666685E-2</v>
      </c>
    </row>
    <row r="15" spans="1:19" s="19" customFormat="1" ht="15.95" customHeight="1">
      <c r="A15" s="41">
        <f>MAX($A$4:A14)+1</f>
        <v>11</v>
      </c>
      <c r="B15" s="42">
        <v>0.2916666666666668</v>
      </c>
      <c r="C15" s="42">
        <f t="shared" si="8"/>
        <v>0.33333333333333348</v>
      </c>
      <c r="D15" s="42">
        <f t="shared" si="6"/>
        <v>8.3333333333333592E-3</v>
      </c>
      <c r="E15" s="42">
        <f t="shared" si="7"/>
        <v>8.3333333333333592E-3</v>
      </c>
      <c r="F15" s="42">
        <v>0.29375000000000012</v>
      </c>
      <c r="G15" s="42">
        <f t="shared" si="9"/>
        <v>0.33541666666666681</v>
      </c>
      <c r="H15" s="16">
        <f t="shared" si="10"/>
        <v>1.3194444444444564E-2</v>
      </c>
      <c r="I15" s="16">
        <f t="shared" si="11"/>
        <v>1.7361111111111216E-2</v>
      </c>
      <c r="J15" s="15">
        <v>0.2916666666666668</v>
      </c>
      <c r="K15" s="15">
        <v>0.33333333333333348</v>
      </c>
      <c r="L15" s="15">
        <v>0.29375000000000012</v>
      </c>
      <c r="M15" s="45">
        <v>0.33541666666666681</v>
      </c>
      <c r="N15" s="16">
        <f t="shared" si="2"/>
        <v>0</v>
      </c>
      <c r="O15" s="16">
        <f t="shared" si="2"/>
        <v>0</v>
      </c>
      <c r="P15" s="16">
        <f t="shared" si="3"/>
        <v>0</v>
      </c>
      <c r="Q15" s="16">
        <f t="shared" si="3"/>
        <v>0</v>
      </c>
      <c r="R15" s="39">
        <f t="shared" si="4"/>
        <v>4.1666666666666685E-2</v>
      </c>
      <c r="S15" s="39">
        <f t="shared" si="5"/>
        <v>4.1666666666666685E-2</v>
      </c>
    </row>
    <row r="16" spans="1:19" s="19" customFormat="1" ht="15.95" customHeight="1">
      <c r="A16" s="41">
        <f>MAX($A$4:A15)+1</f>
        <v>12</v>
      </c>
      <c r="B16" s="42">
        <v>0.30000000000000016</v>
      </c>
      <c r="C16" s="42">
        <f t="shared" si="8"/>
        <v>0.34166666666666684</v>
      </c>
      <c r="D16" s="42">
        <f t="shared" si="6"/>
        <v>8.3333333333333592E-3</v>
      </c>
      <c r="E16" s="42">
        <f t="shared" si="7"/>
        <v>8.3333333333333592E-3</v>
      </c>
      <c r="F16" s="42">
        <v>0.30208333333333348</v>
      </c>
      <c r="G16" s="42">
        <f t="shared" si="9"/>
        <v>0.34375000000000017</v>
      </c>
      <c r="H16" s="16">
        <f t="shared" si="10"/>
        <v>1.319444444444462E-2</v>
      </c>
      <c r="I16" s="16">
        <f t="shared" si="11"/>
        <v>1.7361111111111271E-2</v>
      </c>
      <c r="J16" s="15">
        <v>0.30000000000000016</v>
      </c>
      <c r="K16" s="15">
        <v>0.34166666666666684</v>
      </c>
      <c r="L16" s="15">
        <v>0.30208333333333348</v>
      </c>
      <c r="M16" s="45">
        <v>0.34375000000000017</v>
      </c>
      <c r="N16" s="16">
        <f t="shared" si="2"/>
        <v>0</v>
      </c>
      <c r="O16" s="16">
        <f t="shared" si="2"/>
        <v>0</v>
      </c>
      <c r="P16" s="16">
        <f t="shared" si="3"/>
        <v>0</v>
      </c>
      <c r="Q16" s="16">
        <f t="shared" si="3"/>
        <v>0</v>
      </c>
      <c r="R16" s="39">
        <f t="shared" si="4"/>
        <v>4.1666666666666685E-2</v>
      </c>
      <c r="S16" s="39">
        <f t="shared" si="5"/>
        <v>4.1666666666666685E-2</v>
      </c>
    </row>
    <row r="17" spans="1:19" s="19" customFormat="1" ht="15.95" customHeight="1">
      <c r="A17" s="41">
        <f>MAX($A$4:A16)+1</f>
        <v>13</v>
      </c>
      <c r="B17" s="42">
        <v>0.30833333333333351</v>
      </c>
      <c r="C17" s="42">
        <f t="shared" si="8"/>
        <v>0.3500000000000002</v>
      </c>
      <c r="D17" s="42">
        <f t="shared" si="6"/>
        <v>8.3333333333333592E-3</v>
      </c>
      <c r="E17" s="42">
        <f t="shared" si="7"/>
        <v>8.3333333333333592E-3</v>
      </c>
      <c r="F17" s="42">
        <v>0.31041666666666684</v>
      </c>
      <c r="G17" s="42">
        <f t="shared" si="9"/>
        <v>0.35208333333333353</v>
      </c>
      <c r="H17" s="16">
        <f t="shared" si="10"/>
        <v>6.2500000000001443E-3</v>
      </c>
      <c r="I17" s="16">
        <f t="shared" si="11"/>
        <v>1.0416666666666796E-2</v>
      </c>
      <c r="J17" s="15">
        <v>0.30833333333333351</v>
      </c>
      <c r="K17" s="15">
        <v>0.3500000000000002</v>
      </c>
      <c r="L17" s="15">
        <v>0.31041666666666684</v>
      </c>
      <c r="M17" s="45">
        <v>0.35208333333333353</v>
      </c>
      <c r="N17" s="16">
        <f t="shared" si="2"/>
        <v>0</v>
      </c>
      <c r="O17" s="16">
        <f t="shared" si="2"/>
        <v>0</v>
      </c>
      <c r="P17" s="16">
        <f t="shared" si="3"/>
        <v>0</v>
      </c>
      <c r="Q17" s="16">
        <f t="shared" si="3"/>
        <v>0</v>
      </c>
      <c r="R17" s="39">
        <f t="shared" si="4"/>
        <v>4.1666666666666685E-2</v>
      </c>
      <c r="S17" s="39">
        <f t="shared" si="5"/>
        <v>4.1666666666666685E-2</v>
      </c>
    </row>
    <row r="18" spans="1:19" s="19" customFormat="1" ht="15.95" customHeight="1">
      <c r="A18" s="41">
        <f>MAX($A$4:A17)+1</f>
        <v>14</v>
      </c>
      <c r="B18" s="42">
        <v>0.31666666666666687</v>
      </c>
      <c r="C18" s="42">
        <f t="shared" si="8"/>
        <v>0.35833333333333356</v>
      </c>
      <c r="D18" s="42">
        <f t="shared" si="6"/>
        <v>8.3333333333333592E-3</v>
      </c>
      <c r="E18" s="42">
        <f t="shared" si="7"/>
        <v>8.3333333333333592E-3</v>
      </c>
      <c r="F18" s="42">
        <v>0.3187500000000002</v>
      </c>
      <c r="G18" s="42">
        <f t="shared" si="9"/>
        <v>0.36041666666666689</v>
      </c>
      <c r="H18" s="16">
        <f t="shared" si="10"/>
        <v>6.2500000000001443E-3</v>
      </c>
      <c r="I18" s="16">
        <f t="shared" si="11"/>
        <v>1.0416666666666796E-2</v>
      </c>
      <c r="J18" s="15">
        <v>0.31666666666666687</v>
      </c>
      <c r="K18" s="15">
        <v>0.35833333333333356</v>
      </c>
      <c r="L18" s="15">
        <v>0.3187500000000002</v>
      </c>
      <c r="M18" s="45">
        <v>0.36041666666666689</v>
      </c>
      <c r="N18" s="16">
        <f t="shared" si="2"/>
        <v>0</v>
      </c>
      <c r="O18" s="16">
        <f t="shared" si="2"/>
        <v>0</v>
      </c>
      <c r="P18" s="16">
        <f t="shared" si="3"/>
        <v>0</v>
      </c>
      <c r="Q18" s="16">
        <f t="shared" si="3"/>
        <v>0</v>
      </c>
      <c r="R18" s="39">
        <f t="shared" si="4"/>
        <v>4.1666666666666685E-2</v>
      </c>
      <c r="S18" s="39">
        <f t="shared" si="5"/>
        <v>4.1666666666666685E-2</v>
      </c>
    </row>
    <row r="19" spans="1:19" s="19" customFormat="1" ht="15.95" customHeight="1">
      <c r="A19" s="41">
        <f>MAX($A$4:A18)+1</f>
        <v>15</v>
      </c>
      <c r="B19" s="42">
        <v>0.32500000000000023</v>
      </c>
      <c r="C19" s="42">
        <f t="shared" si="8"/>
        <v>0.36666666666666692</v>
      </c>
      <c r="D19" s="42">
        <f t="shared" si="6"/>
        <v>8.3333333333333592E-3</v>
      </c>
      <c r="E19" s="42">
        <f t="shared" si="7"/>
        <v>8.3333333333333592E-3</v>
      </c>
      <c r="F19" s="42">
        <v>0.32708333333333356</v>
      </c>
      <c r="G19" s="42">
        <f t="shared" si="9"/>
        <v>0.36875000000000024</v>
      </c>
      <c r="H19" s="16">
        <f t="shared" si="10"/>
        <v>6.2500000000001443E-3</v>
      </c>
      <c r="I19" s="16">
        <f t="shared" si="11"/>
        <v>1.0416666666666796E-2</v>
      </c>
      <c r="J19" s="15">
        <v>0.32500000000000023</v>
      </c>
      <c r="K19" s="15">
        <v>0.36666666666666692</v>
      </c>
      <c r="L19" s="15">
        <v>0.32708333333333356</v>
      </c>
      <c r="M19" s="45">
        <v>0.36875000000000024</v>
      </c>
      <c r="N19" s="16">
        <f t="shared" si="2"/>
        <v>0</v>
      </c>
      <c r="O19" s="16">
        <f t="shared" si="2"/>
        <v>0</v>
      </c>
      <c r="P19" s="16">
        <f t="shared" si="3"/>
        <v>0</v>
      </c>
      <c r="Q19" s="16">
        <f t="shared" si="3"/>
        <v>0</v>
      </c>
      <c r="R19" s="39">
        <f t="shared" si="4"/>
        <v>4.1666666666666685E-2</v>
      </c>
      <c r="S19" s="39">
        <f t="shared" si="5"/>
        <v>4.1666666666666685E-2</v>
      </c>
    </row>
    <row r="20" spans="1:19" s="19" customFormat="1" ht="15.95" customHeight="1">
      <c r="A20" s="41">
        <f>MAX($A$4:A19)+1</f>
        <v>16</v>
      </c>
      <c r="B20" s="42">
        <v>0.33333333333333359</v>
      </c>
      <c r="C20" s="42">
        <f t="shared" si="8"/>
        <v>0.37500000000000028</v>
      </c>
      <c r="D20" s="42">
        <f t="shared" si="6"/>
        <v>8.3333333333333592E-3</v>
      </c>
      <c r="E20" s="42">
        <f t="shared" si="7"/>
        <v>8.3333333333333592E-3</v>
      </c>
      <c r="F20" s="42">
        <v>0.33541666666666692</v>
      </c>
      <c r="G20" s="42">
        <f t="shared" si="9"/>
        <v>0.3770833333333336</v>
      </c>
      <c r="H20" s="16">
        <f t="shared" si="10"/>
        <v>6.2500000000001443E-3</v>
      </c>
      <c r="I20" s="16">
        <f t="shared" si="11"/>
        <v>1.0416666666666796E-2</v>
      </c>
      <c r="J20" s="15">
        <v>0.33333333333333359</v>
      </c>
      <c r="K20" s="15">
        <v>0.37500000000000028</v>
      </c>
      <c r="L20" s="15">
        <v>0.33541666666666692</v>
      </c>
      <c r="M20" s="45">
        <v>0.3770833333333336</v>
      </c>
      <c r="N20" s="16">
        <f t="shared" si="2"/>
        <v>0</v>
      </c>
      <c r="O20" s="16">
        <f t="shared" si="2"/>
        <v>0</v>
      </c>
      <c r="P20" s="16">
        <f t="shared" si="3"/>
        <v>0</v>
      </c>
      <c r="Q20" s="16">
        <f t="shared" si="3"/>
        <v>0</v>
      </c>
      <c r="R20" s="39">
        <f t="shared" si="4"/>
        <v>4.1666666666666685E-2</v>
      </c>
      <c r="S20" s="39">
        <f t="shared" si="5"/>
        <v>4.1666666666666685E-2</v>
      </c>
    </row>
    <row r="21" spans="1:19" s="19" customFormat="1" ht="15.95" customHeight="1">
      <c r="A21" s="41">
        <f>MAX($A$4:A20)+1</f>
        <v>17</v>
      </c>
      <c r="B21" s="42">
        <v>0.34166666666666695</v>
      </c>
      <c r="C21" s="42">
        <f t="shared" si="8"/>
        <v>0.38333333333333364</v>
      </c>
      <c r="D21" s="42">
        <f t="shared" si="6"/>
        <v>8.3333333333333592E-3</v>
      </c>
      <c r="E21" s="42">
        <f t="shared" si="7"/>
        <v>8.3333333333333592E-3</v>
      </c>
      <c r="F21" s="42">
        <v>0.34375000000000028</v>
      </c>
      <c r="G21" s="42">
        <f t="shared" si="9"/>
        <v>0.38541666666666696</v>
      </c>
      <c r="H21" s="16">
        <f t="shared" si="10"/>
        <v>6.2500000000001443E-3</v>
      </c>
      <c r="I21" s="16">
        <f t="shared" si="11"/>
        <v>1.0416666666666796E-2</v>
      </c>
      <c r="J21" s="15">
        <v>0.34166666666666695</v>
      </c>
      <c r="K21" s="15">
        <v>0.38333333333333364</v>
      </c>
      <c r="L21" s="15">
        <v>0.34375000000000028</v>
      </c>
      <c r="M21" s="45">
        <v>0.38541666666666696</v>
      </c>
      <c r="N21" s="16">
        <f t="shared" si="2"/>
        <v>0</v>
      </c>
      <c r="O21" s="16">
        <f t="shared" si="2"/>
        <v>0</v>
      </c>
      <c r="P21" s="16">
        <f t="shared" si="3"/>
        <v>0</v>
      </c>
      <c r="Q21" s="16">
        <f t="shared" si="3"/>
        <v>0</v>
      </c>
      <c r="R21" s="39">
        <f t="shared" si="4"/>
        <v>4.1666666666666685E-2</v>
      </c>
      <c r="S21" s="39">
        <f t="shared" si="5"/>
        <v>4.1666666666666685E-2</v>
      </c>
    </row>
    <row r="22" spans="1:19" s="19" customFormat="1" ht="15.95" customHeight="1">
      <c r="A22" s="41">
        <f>MAX($A$4:A21)+1</f>
        <v>18</v>
      </c>
      <c r="B22" s="42">
        <v>0.35000000000000031</v>
      </c>
      <c r="C22" s="42">
        <f t="shared" si="8"/>
        <v>0.391666666666667</v>
      </c>
      <c r="D22" s="42">
        <f t="shared" si="6"/>
        <v>8.3333333333333592E-3</v>
      </c>
      <c r="E22" s="42">
        <f t="shared" si="7"/>
        <v>8.3333333333333592E-3</v>
      </c>
      <c r="F22" s="42">
        <v>0.35208333333333364</v>
      </c>
      <c r="G22" s="42">
        <f t="shared" si="9"/>
        <v>0.39375000000000032</v>
      </c>
      <c r="H22" s="16">
        <f t="shared" si="10"/>
        <v>6.2500000000001443E-3</v>
      </c>
      <c r="I22" s="16">
        <f t="shared" si="11"/>
        <v>1.0416666666666796E-2</v>
      </c>
      <c r="J22" s="15">
        <v>0.35000000000000031</v>
      </c>
      <c r="K22" s="15">
        <v>0.391666666666667</v>
      </c>
      <c r="L22" s="15">
        <v>0.35208333333333364</v>
      </c>
      <c r="M22" s="45">
        <v>0.39375000000000032</v>
      </c>
      <c r="N22" s="16">
        <f t="shared" si="2"/>
        <v>0</v>
      </c>
      <c r="O22" s="16">
        <f t="shared" si="2"/>
        <v>0</v>
      </c>
      <c r="P22" s="16">
        <f t="shared" si="3"/>
        <v>0</v>
      </c>
      <c r="Q22" s="16">
        <f t="shared" si="3"/>
        <v>0</v>
      </c>
      <c r="R22" s="39">
        <f t="shared" si="4"/>
        <v>4.1666666666666685E-2</v>
      </c>
      <c r="S22" s="39">
        <f t="shared" si="5"/>
        <v>4.1666666666666685E-2</v>
      </c>
    </row>
    <row r="23" spans="1:19" s="19" customFormat="1" ht="15.95" customHeight="1">
      <c r="A23" s="41">
        <f>MAX($A$4:A22)+1</f>
        <v>19</v>
      </c>
      <c r="B23" s="42">
        <v>0.35833333333333367</v>
      </c>
      <c r="C23" s="42">
        <f t="shared" si="8"/>
        <v>0.40000000000000036</v>
      </c>
      <c r="D23" s="42">
        <f t="shared" si="6"/>
        <v>8.3333333333333592E-3</v>
      </c>
      <c r="E23" s="42">
        <f t="shared" si="7"/>
        <v>8.3333333333333592E-3</v>
      </c>
      <c r="F23" s="42">
        <v>0.360416666666667</v>
      </c>
      <c r="G23" s="42">
        <f t="shared" si="9"/>
        <v>0.40208333333333368</v>
      </c>
      <c r="H23" s="16">
        <f t="shared" si="10"/>
        <v>6.2500000000001443E-3</v>
      </c>
      <c r="I23" s="16">
        <f t="shared" si="11"/>
        <v>1.0416666666666796E-2</v>
      </c>
      <c r="J23" s="15">
        <v>0.35833333333333367</v>
      </c>
      <c r="K23" s="15">
        <v>0.40000000000000036</v>
      </c>
      <c r="L23" s="15">
        <v>0.360416666666667</v>
      </c>
      <c r="M23" s="45">
        <v>0.40208333333333368</v>
      </c>
      <c r="N23" s="16">
        <f t="shared" si="2"/>
        <v>0</v>
      </c>
      <c r="O23" s="16">
        <f t="shared" si="2"/>
        <v>0</v>
      </c>
      <c r="P23" s="16">
        <f t="shared" si="3"/>
        <v>0</v>
      </c>
      <c r="Q23" s="16">
        <f t="shared" si="3"/>
        <v>0</v>
      </c>
      <c r="R23" s="39">
        <f t="shared" si="4"/>
        <v>4.1666666666666685E-2</v>
      </c>
      <c r="S23" s="39">
        <f t="shared" si="5"/>
        <v>4.1666666666666685E-2</v>
      </c>
    </row>
    <row r="24" spans="1:19" s="19" customFormat="1" ht="15.95" customHeight="1">
      <c r="A24" s="41">
        <f>MAX($A$4:A23)+1</f>
        <v>20</v>
      </c>
      <c r="B24" s="42">
        <v>0.36875000000000036</v>
      </c>
      <c r="C24" s="42">
        <f t="shared" si="8"/>
        <v>0.41041666666666704</v>
      </c>
      <c r="D24" s="42">
        <f t="shared" si="6"/>
        <v>1.0416666666666685E-2</v>
      </c>
      <c r="E24" s="42">
        <f t="shared" si="7"/>
        <v>8.3333333333333592E-3</v>
      </c>
      <c r="F24" s="42">
        <v>0.36875000000000036</v>
      </c>
      <c r="G24" s="42">
        <f t="shared" si="9"/>
        <v>0.41041666666666704</v>
      </c>
      <c r="H24" s="16">
        <f t="shared" si="10"/>
        <v>8.3333333333334703E-3</v>
      </c>
      <c r="I24" s="16">
        <f t="shared" si="11"/>
        <v>1.0416666666666796E-2</v>
      </c>
      <c r="J24" s="15">
        <v>0.36875000000000036</v>
      </c>
      <c r="K24" s="15">
        <v>0.41041666666666704</v>
      </c>
      <c r="L24" s="15">
        <v>0.36875000000000036</v>
      </c>
      <c r="M24" s="45">
        <v>0.41041666666666704</v>
      </c>
      <c r="N24" s="16">
        <f t="shared" si="2"/>
        <v>0</v>
      </c>
      <c r="O24" s="16">
        <f t="shared" si="2"/>
        <v>0</v>
      </c>
      <c r="P24" s="16">
        <f t="shared" si="3"/>
        <v>0</v>
      </c>
      <c r="Q24" s="16">
        <f t="shared" si="3"/>
        <v>0</v>
      </c>
      <c r="R24" s="39">
        <f t="shared" si="4"/>
        <v>4.1666666666666685E-2</v>
      </c>
      <c r="S24" s="39">
        <f t="shared" si="5"/>
        <v>4.1666666666666685E-2</v>
      </c>
    </row>
    <row r="25" spans="1:19" s="19" customFormat="1" ht="15.95" customHeight="1">
      <c r="A25" s="41">
        <f>MAX($A$4:A24)+1</f>
        <v>21</v>
      </c>
      <c r="B25" s="42">
        <v>0.37916666666666704</v>
      </c>
      <c r="C25" s="42">
        <f t="shared" si="8"/>
        <v>0.42083333333333373</v>
      </c>
      <c r="D25" s="42">
        <f t="shared" si="6"/>
        <v>1.0416666666666685E-2</v>
      </c>
      <c r="E25" s="42">
        <f t="shared" si="7"/>
        <v>1.0416666666666685E-2</v>
      </c>
      <c r="F25" s="42">
        <v>0.37916666666666704</v>
      </c>
      <c r="G25" s="42">
        <f t="shared" si="9"/>
        <v>0.42083333333333373</v>
      </c>
      <c r="H25" s="16">
        <f t="shared" si="10"/>
        <v>1.0416666666666796E-2</v>
      </c>
      <c r="I25" s="16">
        <f t="shared" si="11"/>
        <v>1.2500000000000122E-2</v>
      </c>
      <c r="J25" s="15">
        <v>0.37916666666666704</v>
      </c>
      <c r="K25" s="15">
        <v>0.42083333333333373</v>
      </c>
      <c r="L25" s="15">
        <v>0.37916666666666704</v>
      </c>
      <c r="M25" s="45">
        <v>0.42083333333333373</v>
      </c>
      <c r="N25" s="16">
        <f t="shared" ref="N25:O68" si="12">J25-B25</f>
        <v>0</v>
      </c>
      <c r="O25" s="16">
        <f t="shared" si="12"/>
        <v>0</v>
      </c>
      <c r="P25" s="16">
        <f t="shared" ref="P25:Q68" si="13">L25-F25</f>
        <v>0</v>
      </c>
      <c r="Q25" s="16">
        <f t="shared" si="13"/>
        <v>0</v>
      </c>
      <c r="R25" s="39">
        <f t="shared" si="4"/>
        <v>4.1666666666666685E-2</v>
      </c>
      <c r="S25" s="39">
        <f t="shared" si="5"/>
        <v>4.1666666666666685E-2</v>
      </c>
    </row>
    <row r="26" spans="1:19" s="19" customFormat="1" ht="15.95" customHeight="1">
      <c r="A26" s="41">
        <f>MAX($A$4:A25)+1</f>
        <v>22</v>
      </c>
      <c r="B26" s="42">
        <v>0.38958333333333373</v>
      </c>
      <c r="C26" s="42">
        <f t="shared" si="8"/>
        <v>0.43125000000000041</v>
      </c>
      <c r="D26" s="42">
        <f t="shared" si="6"/>
        <v>1.0416666666666685E-2</v>
      </c>
      <c r="E26" s="42">
        <f t="shared" si="7"/>
        <v>1.0416666666666685E-2</v>
      </c>
      <c r="F26" s="42">
        <v>0.38958333333333373</v>
      </c>
      <c r="G26" s="42">
        <f t="shared" si="9"/>
        <v>0.43125000000000041</v>
      </c>
      <c r="H26" s="16">
        <f t="shared" si="10"/>
        <v>1.2500000000000122E-2</v>
      </c>
      <c r="I26" s="16">
        <f t="shared" si="11"/>
        <v>1.4583333333333448E-2</v>
      </c>
      <c r="J26" s="15">
        <v>0.38958333333333373</v>
      </c>
      <c r="K26" s="15">
        <v>0.43125000000000041</v>
      </c>
      <c r="L26" s="15">
        <v>0.38958333333333373</v>
      </c>
      <c r="M26" s="45">
        <v>0.43125000000000041</v>
      </c>
      <c r="N26" s="16">
        <f t="shared" si="12"/>
        <v>0</v>
      </c>
      <c r="O26" s="16">
        <f t="shared" si="12"/>
        <v>0</v>
      </c>
      <c r="P26" s="16">
        <f t="shared" si="13"/>
        <v>0</v>
      </c>
      <c r="Q26" s="16">
        <f t="shared" si="13"/>
        <v>0</v>
      </c>
      <c r="R26" s="39">
        <f t="shared" si="4"/>
        <v>4.1666666666666685E-2</v>
      </c>
      <c r="S26" s="39">
        <f t="shared" si="5"/>
        <v>4.1666666666666685E-2</v>
      </c>
    </row>
    <row r="27" spans="1:19" s="19" customFormat="1" ht="15.95" customHeight="1">
      <c r="A27" s="41">
        <f>MAX($A$4:A26)+1</f>
        <v>23</v>
      </c>
      <c r="B27" s="42">
        <v>0.40000000000000041</v>
      </c>
      <c r="C27" s="42">
        <f t="shared" si="8"/>
        <v>0.4416666666666671</v>
      </c>
      <c r="D27" s="42">
        <f t="shared" si="6"/>
        <v>1.0416666666666685E-2</v>
      </c>
      <c r="E27" s="42">
        <f t="shared" si="7"/>
        <v>1.0416666666666685E-2</v>
      </c>
      <c r="F27" s="42">
        <v>0.40000000000000041</v>
      </c>
      <c r="G27" s="42">
        <f t="shared" si="9"/>
        <v>0.4416666666666671</v>
      </c>
      <c r="H27" s="16">
        <f t="shared" si="10"/>
        <v>1.4583333333333448E-2</v>
      </c>
      <c r="I27" s="16">
        <f t="shared" si="11"/>
        <v>1.6666666666666774E-2</v>
      </c>
      <c r="J27" s="15">
        <v>0.40000000000000041</v>
      </c>
      <c r="K27" s="15">
        <v>0.4416666666666671</v>
      </c>
      <c r="L27" s="15">
        <v>0.40000000000000041</v>
      </c>
      <c r="M27" s="45">
        <v>0.4416666666666671</v>
      </c>
      <c r="N27" s="16">
        <f t="shared" si="12"/>
        <v>0</v>
      </c>
      <c r="O27" s="16">
        <f t="shared" si="12"/>
        <v>0</v>
      </c>
      <c r="P27" s="16">
        <f t="shared" si="13"/>
        <v>0</v>
      </c>
      <c r="Q27" s="16">
        <f t="shared" si="13"/>
        <v>0</v>
      </c>
      <c r="R27" s="39">
        <f t="shared" si="4"/>
        <v>4.1666666666666685E-2</v>
      </c>
      <c r="S27" s="39">
        <f t="shared" si="5"/>
        <v>4.1666666666666685E-2</v>
      </c>
    </row>
    <row r="28" spans="1:19" s="19" customFormat="1" ht="15.95" customHeight="1">
      <c r="A28" s="41">
        <f>MAX($A$4:A27)+1</f>
        <v>24</v>
      </c>
      <c r="B28" s="42">
        <v>0.4104166666666671</v>
      </c>
      <c r="C28" s="42">
        <f t="shared" si="8"/>
        <v>0.45208333333333378</v>
      </c>
      <c r="D28" s="42">
        <f t="shared" si="6"/>
        <v>1.0416666666666685E-2</v>
      </c>
      <c r="E28" s="42">
        <f t="shared" si="7"/>
        <v>1.0416666666666685E-2</v>
      </c>
      <c r="F28" s="42">
        <v>0.4104166666666671</v>
      </c>
      <c r="G28" s="42">
        <f t="shared" si="9"/>
        <v>0.45208333333333378</v>
      </c>
      <c r="H28" s="16">
        <f t="shared" si="10"/>
        <v>1.6666666666666774E-2</v>
      </c>
      <c r="I28" s="16">
        <f t="shared" si="11"/>
        <v>1.87500000000001E-2</v>
      </c>
      <c r="J28" s="15">
        <v>0.4104166666666671</v>
      </c>
      <c r="K28" s="15">
        <v>0.45208333333333378</v>
      </c>
      <c r="L28" s="15">
        <v>0.4104166666666671</v>
      </c>
      <c r="M28" s="45">
        <v>0.45208333333333378</v>
      </c>
      <c r="N28" s="16">
        <f t="shared" si="12"/>
        <v>0</v>
      </c>
      <c r="O28" s="16">
        <f t="shared" si="12"/>
        <v>0</v>
      </c>
      <c r="P28" s="16">
        <f t="shared" si="13"/>
        <v>0</v>
      </c>
      <c r="Q28" s="16">
        <f t="shared" si="13"/>
        <v>0</v>
      </c>
      <c r="R28" s="39">
        <f t="shared" si="4"/>
        <v>4.1666666666666685E-2</v>
      </c>
      <c r="S28" s="39">
        <f t="shared" si="5"/>
        <v>4.1666666666666685E-2</v>
      </c>
    </row>
    <row r="29" spans="1:19" s="19" customFormat="1" ht="15.95" customHeight="1">
      <c r="A29" s="41">
        <f>MAX($A$4:A28)+1</f>
        <v>25</v>
      </c>
      <c r="B29" s="42">
        <v>0.42083333333333378</v>
      </c>
      <c r="C29" s="42">
        <f t="shared" si="8"/>
        <v>0.46250000000000047</v>
      </c>
      <c r="D29" s="42">
        <f t="shared" si="6"/>
        <v>1.0416666666666685E-2</v>
      </c>
      <c r="E29" s="42">
        <f t="shared" si="7"/>
        <v>1.0416666666666685E-2</v>
      </c>
      <c r="F29" s="42">
        <v>0.42083333333333378</v>
      </c>
      <c r="G29" s="42">
        <f t="shared" si="9"/>
        <v>0.46250000000000047</v>
      </c>
      <c r="H29" s="16">
        <f t="shared" si="10"/>
        <v>1.87500000000001E-2</v>
      </c>
      <c r="I29" s="16">
        <f t="shared" si="11"/>
        <v>2.0833333333333426E-2</v>
      </c>
      <c r="J29" s="15">
        <v>0.42083333333333378</v>
      </c>
      <c r="K29" s="15">
        <v>0.46250000000000047</v>
      </c>
      <c r="L29" s="15">
        <v>0.42083333333333378</v>
      </c>
      <c r="M29" s="45">
        <v>0.46250000000000047</v>
      </c>
      <c r="N29" s="16">
        <f t="shared" si="12"/>
        <v>0</v>
      </c>
      <c r="O29" s="16">
        <f t="shared" si="12"/>
        <v>0</v>
      </c>
      <c r="P29" s="16">
        <f t="shared" si="13"/>
        <v>0</v>
      </c>
      <c r="Q29" s="16">
        <f t="shared" si="13"/>
        <v>0</v>
      </c>
      <c r="R29" s="39">
        <f t="shared" si="4"/>
        <v>4.1666666666666685E-2</v>
      </c>
      <c r="S29" s="39">
        <f t="shared" si="5"/>
        <v>4.1666666666666685E-2</v>
      </c>
    </row>
    <row r="30" spans="1:19" s="19" customFormat="1" ht="15.95" customHeight="1">
      <c r="A30" s="41">
        <f>MAX($A$4:A29)+1</f>
        <v>26</v>
      </c>
      <c r="B30" s="42">
        <v>0.43125000000000047</v>
      </c>
      <c r="C30" s="42">
        <f t="shared" si="8"/>
        <v>0.47291666666666715</v>
      </c>
      <c r="D30" s="42">
        <f t="shared" si="6"/>
        <v>1.0416666666666685E-2</v>
      </c>
      <c r="E30" s="42">
        <f t="shared" si="7"/>
        <v>1.0416666666666685E-2</v>
      </c>
      <c r="F30" s="42">
        <v>0.43125000000000047</v>
      </c>
      <c r="G30" s="42">
        <f t="shared" si="9"/>
        <v>0.47291666666666715</v>
      </c>
      <c r="H30" s="16">
        <f t="shared" si="10"/>
        <v>2.0833333333333426E-2</v>
      </c>
      <c r="I30" s="16">
        <f t="shared" si="11"/>
        <v>2.0833333333333426E-2</v>
      </c>
      <c r="J30" s="15">
        <v>0.43125000000000047</v>
      </c>
      <c r="K30" s="15">
        <v>0.47291666666666715</v>
      </c>
      <c r="L30" s="15">
        <v>0.43125000000000047</v>
      </c>
      <c r="M30" s="45">
        <v>0.47291666666666715</v>
      </c>
      <c r="N30" s="16">
        <f t="shared" si="12"/>
        <v>0</v>
      </c>
      <c r="O30" s="16">
        <f t="shared" si="12"/>
        <v>0</v>
      </c>
      <c r="P30" s="16">
        <f t="shared" si="13"/>
        <v>0</v>
      </c>
      <c r="Q30" s="16">
        <f t="shared" si="13"/>
        <v>0</v>
      </c>
      <c r="R30" s="39">
        <f t="shared" si="4"/>
        <v>4.1666666666666685E-2</v>
      </c>
      <c r="S30" s="39">
        <f t="shared" si="5"/>
        <v>4.1666666666666685E-2</v>
      </c>
    </row>
    <row r="31" spans="1:19" s="19" customFormat="1" ht="15.95" customHeight="1">
      <c r="A31" s="41">
        <f>MAX($A$4:A30)+1</f>
        <v>27</v>
      </c>
      <c r="B31" s="42">
        <v>0.44166666666666715</v>
      </c>
      <c r="C31" s="42">
        <f t="shared" si="8"/>
        <v>0.48333333333333384</v>
      </c>
      <c r="D31" s="42">
        <f t="shared" si="6"/>
        <v>1.0416666666666685E-2</v>
      </c>
      <c r="E31" s="42">
        <f t="shared" si="7"/>
        <v>1.0416666666666685E-2</v>
      </c>
      <c r="F31" s="42">
        <v>0.44166666666666715</v>
      </c>
      <c r="G31" s="42">
        <f t="shared" si="9"/>
        <v>0.48333333333333384</v>
      </c>
      <c r="H31" s="16">
        <f t="shared" si="10"/>
        <v>2.0833333333333426E-2</v>
      </c>
      <c r="I31" s="16">
        <f t="shared" si="11"/>
        <v>2.0833333333333426E-2</v>
      </c>
      <c r="J31" s="15">
        <v>0.44166666666666715</v>
      </c>
      <c r="K31" s="15">
        <v>0.48333333333333384</v>
      </c>
      <c r="L31" s="15">
        <v>0.44166666666666715</v>
      </c>
      <c r="M31" s="45">
        <v>0.48333333333333384</v>
      </c>
      <c r="N31" s="16">
        <f t="shared" si="12"/>
        <v>0</v>
      </c>
      <c r="O31" s="16">
        <f t="shared" si="12"/>
        <v>0</v>
      </c>
      <c r="P31" s="16">
        <f t="shared" si="13"/>
        <v>0</v>
      </c>
      <c r="Q31" s="16">
        <f t="shared" si="13"/>
        <v>0</v>
      </c>
      <c r="R31" s="39">
        <f t="shared" si="4"/>
        <v>4.1666666666666685E-2</v>
      </c>
      <c r="S31" s="39">
        <f t="shared" si="5"/>
        <v>4.1666666666666685E-2</v>
      </c>
    </row>
    <row r="32" spans="1:19" s="19" customFormat="1" ht="15.95" customHeight="1">
      <c r="A32" s="41">
        <f>MAX($A$4:A31)+1</f>
        <v>28</v>
      </c>
      <c r="B32" s="42">
        <v>0.45208333333333384</v>
      </c>
      <c r="C32" s="42">
        <f t="shared" si="8"/>
        <v>0.49375000000000052</v>
      </c>
      <c r="D32" s="42">
        <f t="shared" si="6"/>
        <v>1.0416666666666685E-2</v>
      </c>
      <c r="E32" s="42">
        <f t="shared" si="7"/>
        <v>1.0416666666666685E-2</v>
      </c>
      <c r="F32" s="42">
        <v>0.45208333333333384</v>
      </c>
      <c r="G32" s="42">
        <f t="shared" si="9"/>
        <v>0.49375000000000052</v>
      </c>
      <c r="H32" s="16">
        <f t="shared" si="10"/>
        <v>2.0833333333333426E-2</v>
      </c>
      <c r="I32" s="16">
        <f t="shared" si="11"/>
        <v>2.0833333333333426E-2</v>
      </c>
      <c r="J32" s="15">
        <v>0.45208333333333384</v>
      </c>
      <c r="K32" s="15">
        <v>0.49375000000000052</v>
      </c>
      <c r="L32" s="15">
        <v>0.45208333333333384</v>
      </c>
      <c r="M32" s="45">
        <v>0.49375000000000052</v>
      </c>
      <c r="N32" s="16">
        <f t="shared" si="12"/>
        <v>0</v>
      </c>
      <c r="O32" s="16">
        <f t="shared" si="12"/>
        <v>0</v>
      </c>
      <c r="P32" s="16">
        <f t="shared" si="13"/>
        <v>0</v>
      </c>
      <c r="Q32" s="16">
        <f t="shared" si="13"/>
        <v>0</v>
      </c>
      <c r="R32" s="39">
        <f t="shared" si="4"/>
        <v>4.1666666666666685E-2</v>
      </c>
      <c r="S32" s="39">
        <f t="shared" si="5"/>
        <v>4.1666666666666685E-2</v>
      </c>
    </row>
    <row r="33" spans="1:19" s="19" customFormat="1" ht="15.95" customHeight="1">
      <c r="A33" s="41">
        <f>MAX($A$4:A32)+1</f>
        <v>29</v>
      </c>
      <c r="B33" s="42">
        <v>0.46250000000000052</v>
      </c>
      <c r="C33" s="42">
        <f t="shared" si="8"/>
        <v>0.50416666666666721</v>
      </c>
      <c r="D33" s="42">
        <f t="shared" si="6"/>
        <v>1.0416666666666685E-2</v>
      </c>
      <c r="E33" s="42">
        <f t="shared" si="7"/>
        <v>1.0416666666666685E-2</v>
      </c>
      <c r="F33" s="42">
        <v>0.46250000000000052</v>
      </c>
      <c r="G33" s="42">
        <f t="shared" si="9"/>
        <v>0.50416666666666721</v>
      </c>
      <c r="H33" s="16">
        <f t="shared" si="10"/>
        <v>2.0833333333333426E-2</v>
      </c>
      <c r="I33" s="16">
        <f t="shared" si="11"/>
        <v>2.0833333333333426E-2</v>
      </c>
      <c r="J33" s="15">
        <v>0.46250000000000052</v>
      </c>
      <c r="K33" s="15">
        <v>0.50416666666666721</v>
      </c>
      <c r="L33" s="15">
        <v>0.46250000000000052</v>
      </c>
      <c r="M33" s="45">
        <v>0.50416666666666721</v>
      </c>
      <c r="N33" s="16">
        <f t="shared" si="12"/>
        <v>0</v>
      </c>
      <c r="O33" s="16">
        <f t="shared" si="12"/>
        <v>0</v>
      </c>
      <c r="P33" s="16">
        <f t="shared" si="13"/>
        <v>0</v>
      </c>
      <c r="Q33" s="16">
        <f t="shared" si="13"/>
        <v>0</v>
      </c>
      <c r="R33" s="39">
        <f t="shared" si="4"/>
        <v>4.1666666666666685E-2</v>
      </c>
      <c r="S33" s="39">
        <f t="shared" si="5"/>
        <v>4.1666666666666685E-2</v>
      </c>
    </row>
    <row r="34" spans="1:19" s="19" customFormat="1" ht="15.95" customHeight="1">
      <c r="A34" s="41">
        <f>MAX($A$4:A33)+1</f>
        <v>30</v>
      </c>
      <c r="B34" s="42">
        <v>0.47291666666666721</v>
      </c>
      <c r="C34" s="42">
        <f t="shared" si="8"/>
        <v>0.51458333333333384</v>
      </c>
      <c r="D34" s="42">
        <f t="shared" si="6"/>
        <v>1.0416666666666685E-2</v>
      </c>
      <c r="E34" s="42">
        <f t="shared" si="7"/>
        <v>1.0416666666666685E-2</v>
      </c>
      <c r="F34" s="42">
        <v>0.47291666666666721</v>
      </c>
      <c r="G34" s="42">
        <f t="shared" si="9"/>
        <v>0.51458333333333384</v>
      </c>
      <c r="H34" s="16">
        <f t="shared" si="10"/>
        <v>2.0833333333333426E-2</v>
      </c>
      <c r="I34" s="16">
        <f t="shared" si="11"/>
        <v>2.0833333333333426E-2</v>
      </c>
      <c r="J34" s="15">
        <v>0.47291666666666721</v>
      </c>
      <c r="K34" s="15">
        <v>0.51458333333333384</v>
      </c>
      <c r="L34" s="15">
        <v>0.47291666666666721</v>
      </c>
      <c r="M34" s="45">
        <v>0.51458333333333384</v>
      </c>
      <c r="N34" s="16">
        <f t="shared" si="12"/>
        <v>0</v>
      </c>
      <c r="O34" s="16">
        <f t="shared" si="12"/>
        <v>0</v>
      </c>
      <c r="P34" s="16">
        <f t="shared" si="13"/>
        <v>0</v>
      </c>
      <c r="Q34" s="16">
        <f t="shared" si="13"/>
        <v>0</v>
      </c>
      <c r="R34" s="39">
        <f t="shared" si="4"/>
        <v>4.166666666666663E-2</v>
      </c>
      <c r="S34" s="39">
        <f t="shared" si="5"/>
        <v>4.166666666666663E-2</v>
      </c>
    </row>
    <row r="35" spans="1:19" s="19" customFormat="1" ht="15.95" customHeight="1">
      <c r="A35" s="41">
        <f>MAX($A$4:A34)+1</f>
        <v>31</v>
      </c>
      <c r="B35" s="42">
        <v>0.48333333333333389</v>
      </c>
      <c r="C35" s="42">
        <f t="shared" si="8"/>
        <v>0.52500000000000058</v>
      </c>
      <c r="D35" s="42">
        <f t="shared" si="6"/>
        <v>1.0416666666666685E-2</v>
      </c>
      <c r="E35" s="42">
        <f t="shared" si="7"/>
        <v>1.0416666666666685E-2</v>
      </c>
      <c r="F35" s="42">
        <v>0.48333333333333389</v>
      </c>
      <c r="G35" s="42">
        <f t="shared" si="9"/>
        <v>0.52500000000000058</v>
      </c>
      <c r="H35" s="16">
        <f t="shared" si="10"/>
        <v>2.0833333333333426E-2</v>
      </c>
      <c r="I35" s="16">
        <f t="shared" si="11"/>
        <v>2.0833333333333426E-2</v>
      </c>
      <c r="J35" s="15">
        <v>0.48333333333333389</v>
      </c>
      <c r="K35" s="15">
        <v>0.52500000000000058</v>
      </c>
      <c r="L35" s="15">
        <v>0.48333333333333389</v>
      </c>
      <c r="M35" s="45">
        <v>0.52500000000000058</v>
      </c>
      <c r="N35" s="16">
        <f t="shared" si="12"/>
        <v>0</v>
      </c>
      <c r="O35" s="16">
        <f t="shared" si="12"/>
        <v>0</v>
      </c>
      <c r="P35" s="16">
        <f t="shared" si="13"/>
        <v>0</v>
      </c>
      <c r="Q35" s="16">
        <f t="shared" si="13"/>
        <v>0</v>
      </c>
      <c r="R35" s="39">
        <f t="shared" si="4"/>
        <v>4.1666666666666685E-2</v>
      </c>
      <c r="S35" s="39">
        <f t="shared" si="5"/>
        <v>4.1666666666666685E-2</v>
      </c>
    </row>
    <row r="36" spans="1:19" s="19" customFormat="1" ht="15.95" customHeight="1">
      <c r="A36" s="41">
        <f>MAX($A$4:A35)+1</f>
        <v>32</v>
      </c>
      <c r="B36" s="42">
        <v>0.49375000000000058</v>
      </c>
      <c r="C36" s="42">
        <f t="shared" si="8"/>
        <v>0.53541666666666721</v>
      </c>
      <c r="D36" s="42">
        <f t="shared" si="6"/>
        <v>1.0416666666666685E-2</v>
      </c>
      <c r="E36" s="42">
        <f t="shared" si="7"/>
        <v>1.0416666666666685E-2</v>
      </c>
      <c r="F36" s="42">
        <v>0.49375000000000058</v>
      </c>
      <c r="G36" s="42">
        <f t="shared" si="9"/>
        <v>0.53541666666666721</v>
      </c>
      <c r="H36" s="16">
        <f t="shared" si="10"/>
        <v>2.0833333333333426E-2</v>
      </c>
      <c r="I36" s="16">
        <f t="shared" si="11"/>
        <v>2.0833333333333426E-2</v>
      </c>
      <c r="J36" s="15">
        <v>0.49375000000000058</v>
      </c>
      <c r="K36" s="15">
        <v>0.53541666666666721</v>
      </c>
      <c r="L36" s="15">
        <v>0.49375000000000058</v>
      </c>
      <c r="M36" s="45">
        <v>0.53541666666666721</v>
      </c>
      <c r="N36" s="16">
        <f t="shared" si="12"/>
        <v>0</v>
      </c>
      <c r="O36" s="16">
        <f t="shared" si="12"/>
        <v>0</v>
      </c>
      <c r="P36" s="16">
        <f t="shared" si="13"/>
        <v>0</v>
      </c>
      <c r="Q36" s="16">
        <f t="shared" si="13"/>
        <v>0</v>
      </c>
      <c r="R36" s="39">
        <f t="shared" si="4"/>
        <v>4.166666666666663E-2</v>
      </c>
      <c r="S36" s="39">
        <f t="shared" si="5"/>
        <v>4.166666666666663E-2</v>
      </c>
    </row>
    <row r="37" spans="1:19" s="19" customFormat="1" ht="15.95" customHeight="1">
      <c r="A37" s="41">
        <f>MAX($A$4:A36)+1</f>
        <v>33</v>
      </c>
      <c r="B37" s="42">
        <v>0.50416666666666721</v>
      </c>
      <c r="C37" s="42">
        <f t="shared" si="8"/>
        <v>0.54583333333333384</v>
      </c>
      <c r="D37" s="42">
        <f t="shared" si="6"/>
        <v>1.041666666666663E-2</v>
      </c>
      <c r="E37" s="42">
        <f t="shared" si="7"/>
        <v>1.041666666666663E-2</v>
      </c>
      <c r="F37" s="42">
        <v>0.50416666666666721</v>
      </c>
      <c r="G37" s="42">
        <f t="shared" si="9"/>
        <v>0.54583333333333384</v>
      </c>
      <c r="H37" s="16">
        <f t="shared" si="10"/>
        <v>2.083333333333337E-2</v>
      </c>
      <c r="I37" s="16">
        <f t="shared" si="11"/>
        <v>2.083333333333337E-2</v>
      </c>
      <c r="J37" s="15">
        <v>0.50416666666666721</v>
      </c>
      <c r="K37" s="15">
        <v>0.54583333333333384</v>
      </c>
      <c r="L37" s="15">
        <v>0.50416666666666721</v>
      </c>
      <c r="M37" s="45">
        <v>0.54583333333333384</v>
      </c>
      <c r="N37" s="16">
        <f t="shared" si="12"/>
        <v>0</v>
      </c>
      <c r="O37" s="16">
        <f t="shared" si="12"/>
        <v>0</v>
      </c>
      <c r="P37" s="16">
        <f t="shared" si="13"/>
        <v>0</v>
      </c>
      <c r="Q37" s="16">
        <f t="shared" si="13"/>
        <v>0</v>
      </c>
      <c r="R37" s="39">
        <f t="shared" si="4"/>
        <v>4.166666666666663E-2</v>
      </c>
      <c r="S37" s="39">
        <f t="shared" si="5"/>
        <v>4.166666666666663E-2</v>
      </c>
    </row>
    <row r="38" spans="1:19" s="19" customFormat="1" ht="15.95" customHeight="1">
      <c r="A38" s="41">
        <f>MAX($A$4:A37)+1</f>
        <v>34</v>
      </c>
      <c r="B38" s="42">
        <v>0.51458333333333384</v>
      </c>
      <c r="C38" s="42">
        <f t="shared" si="8"/>
        <v>0.55625000000000047</v>
      </c>
      <c r="D38" s="42">
        <f t="shared" si="6"/>
        <v>1.041666666666663E-2</v>
      </c>
      <c r="E38" s="42">
        <f t="shared" si="7"/>
        <v>1.041666666666663E-2</v>
      </c>
      <c r="F38" s="42">
        <v>0.51458333333333384</v>
      </c>
      <c r="G38" s="42">
        <f t="shared" si="9"/>
        <v>0.55625000000000047</v>
      </c>
      <c r="H38" s="16">
        <f t="shared" si="10"/>
        <v>2.0833333333333315E-2</v>
      </c>
      <c r="I38" s="16">
        <f t="shared" si="11"/>
        <v>2.0833333333333315E-2</v>
      </c>
      <c r="J38" s="15">
        <v>0.51458333333333384</v>
      </c>
      <c r="K38" s="15">
        <v>0.55625000000000047</v>
      </c>
      <c r="L38" s="15">
        <v>0.51458333333333384</v>
      </c>
      <c r="M38" s="45">
        <v>0.55625000000000047</v>
      </c>
      <c r="N38" s="16">
        <f t="shared" si="12"/>
        <v>0</v>
      </c>
      <c r="O38" s="16">
        <f t="shared" si="12"/>
        <v>0</v>
      </c>
      <c r="P38" s="16">
        <f t="shared" si="13"/>
        <v>0</v>
      </c>
      <c r="Q38" s="16">
        <f t="shared" si="13"/>
        <v>0</v>
      </c>
      <c r="R38" s="39">
        <f t="shared" si="4"/>
        <v>4.166666666666663E-2</v>
      </c>
      <c r="S38" s="39">
        <f t="shared" si="5"/>
        <v>4.166666666666663E-2</v>
      </c>
    </row>
    <row r="39" spans="1:19" s="19" customFormat="1" ht="15.95" customHeight="1">
      <c r="A39" s="41">
        <f>MAX($A$4:A38)+1</f>
        <v>35</v>
      </c>
      <c r="B39" s="42">
        <v>0.52500000000000047</v>
      </c>
      <c r="C39" s="42">
        <f t="shared" si="8"/>
        <v>0.5666666666666671</v>
      </c>
      <c r="D39" s="42">
        <f t="shared" si="6"/>
        <v>1.041666666666663E-2</v>
      </c>
      <c r="E39" s="42">
        <f t="shared" si="7"/>
        <v>1.041666666666663E-2</v>
      </c>
      <c r="F39" s="42">
        <v>0.52500000000000047</v>
      </c>
      <c r="G39" s="42">
        <f t="shared" si="9"/>
        <v>0.5666666666666671</v>
      </c>
      <c r="H39" s="16">
        <f t="shared" si="10"/>
        <v>2.0833333333333259E-2</v>
      </c>
      <c r="I39" s="16">
        <f t="shared" si="11"/>
        <v>2.0833333333333259E-2</v>
      </c>
      <c r="J39" s="15">
        <v>0.52500000000000047</v>
      </c>
      <c r="K39" s="15">
        <v>0.5666666666666671</v>
      </c>
      <c r="L39" s="15">
        <v>0.52500000000000047</v>
      </c>
      <c r="M39" s="45">
        <v>0.5666666666666671</v>
      </c>
      <c r="N39" s="16">
        <f t="shared" si="12"/>
        <v>0</v>
      </c>
      <c r="O39" s="16">
        <f t="shared" si="12"/>
        <v>0</v>
      </c>
      <c r="P39" s="16">
        <f t="shared" si="13"/>
        <v>0</v>
      </c>
      <c r="Q39" s="16">
        <f t="shared" si="13"/>
        <v>0</v>
      </c>
      <c r="R39" s="39">
        <f t="shared" si="4"/>
        <v>4.166666666666663E-2</v>
      </c>
      <c r="S39" s="39">
        <f t="shared" si="5"/>
        <v>4.166666666666663E-2</v>
      </c>
    </row>
    <row r="40" spans="1:19" s="19" customFormat="1" ht="15.95" customHeight="1">
      <c r="A40" s="41">
        <f>MAX($A$4:A39)+1</f>
        <v>36</v>
      </c>
      <c r="B40" s="42">
        <v>0.5354166666666671</v>
      </c>
      <c r="C40" s="42">
        <f t="shared" si="8"/>
        <v>0.57708333333333373</v>
      </c>
      <c r="D40" s="42">
        <f t="shared" si="6"/>
        <v>1.041666666666663E-2</v>
      </c>
      <c r="E40" s="42">
        <f t="shared" si="7"/>
        <v>1.041666666666663E-2</v>
      </c>
      <c r="F40" s="42">
        <v>0.5354166666666671</v>
      </c>
      <c r="G40" s="42">
        <f t="shared" si="9"/>
        <v>0.57708333333333373</v>
      </c>
      <c r="H40" s="16">
        <f t="shared" si="10"/>
        <v>2.0833333333333259E-2</v>
      </c>
      <c r="I40" s="16">
        <f t="shared" si="11"/>
        <v>2.0833333333333259E-2</v>
      </c>
      <c r="J40" s="15">
        <v>0.5354166666666671</v>
      </c>
      <c r="K40" s="15">
        <v>0.57708333333333373</v>
      </c>
      <c r="L40" s="15">
        <v>0.5354166666666671</v>
      </c>
      <c r="M40" s="45">
        <v>0.57708333333333373</v>
      </c>
      <c r="N40" s="16">
        <f t="shared" si="12"/>
        <v>0</v>
      </c>
      <c r="O40" s="16">
        <f t="shared" si="12"/>
        <v>0</v>
      </c>
      <c r="P40" s="16">
        <f t="shared" si="13"/>
        <v>0</v>
      </c>
      <c r="Q40" s="16">
        <f t="shared" si="13"/>
        <v>0</v>
      </c>
      <c r="R40" s="39">
        <f t="shared" si="4"/>
        <v>4.166666666666663E-2</v>
      </c>
      <c r="S40" s="39">
        <f t="shared" si="5"/>
        <v>4.166666666666663E-2</v>
      </c>
    </row>
    <row r="41" spans="1:19" s="19" customFormat="1" ht="15.95" customHeight="1">
      <c r="A41" s="41">
        <f>MAX($A$4:A40)+1</f>
        <v>37</v>
      </c>
      <c r="B41" s="42">
        <v>0.54583333333333373</v>
      </c>
      <c r="C41" s="42">
        <f t="shared" si="8"/>
        <v>0.58750000000000036</v>
      </c>
      <c r="D41" s="42">
        <f t="shared" si="6"/>
        <v>1.041666666666663E-2</v>
      </c>
      <c r="E41" s="42">
        <f t="shared" si="7"/>
        <v>1.041666666666663E-2</v>
      </c>
      <c r="F41" s="42">
        <v>0.54583333333333373</v>
      </c>
      <c r="G41" s="42">
        <f t="shared" si="9"/>
        <v>0.58750000000000036</v>
      </c>
      <c r="H41" s="16">
        <f t="shared" si="10"/>
        <v>2.0833333333333148E-2</v>
      </c>
      <c r="I41" s="16">
        <f t="shared" si="11"/>
        <v>2.0833333333333148E-2</v>
      </c>
      <c r="J41" s="15">
        <v>0.54583333333333373</v>
      </c>
      <c r="K41" s="15">
        <v>0.58750000000000036</v>
      </c>
      <c r="L41" s="15">
        <v>0.54583333333333373</v>
      </c>
      <c r="M41" s="45">
        <v>0.58750000000000036</v>
      </c>
      <c r="N41" s="16">
        <f t="shared" si="12"/>
        <v>0</v>
      </c>
      <c r="O41" s="16">
        <f t="shared" si="12"/>
        <v>0</v>
      </c>
      <c r="P41" s="16">
        <f t="shared" si="13"/>
        <v>0</v>
      </c>
      <c r="Q41" s="16">
        <f t="shared" si="13"/>
        <v>0</v>
      </c>
      <c r="R41" s="39">
        <f t="shared" si="4"/>
        <v>4.166666666666663E-2</v>
      </c>
      <c r="S41" s="39">
        <f t="shared" si="5"/>
        <v>4.166666666666663E-2</v>
      </c>
    </row>
    <row r="42" spans="1:19" s="19" customFormat="1" ht="15.95" customHeight="1">
      <c r="A42" s="41">
        <f>MAX($A$4:A41)+1</f>
        <v>38</v>
      </c>
      <c r="B42" s="42">
        <v>0.55625000000000036</v>
      </c>
      <c r="C42" s="42">
        <f t="shared" si="8"/>
        <v>0.59791666666666698</v>
      </c>
      <c r="D42" s="42">
        <f t="shared" si="6"/>
        <v>1.041666666666663E-2</v>
      </c>
      <c r="E42" s="42">
        <f t="shared" si="7"/>
        <v>1.041666666666663E-2</v>
      </c>
      <c r="F42" s="42">
        <v>0.55625000000000036</v>
      </c>
      <c r="G42" s="42">
        <f t="shared" si="9"/>
        <v>0.59791666666666698</v>
      </c>
      <c r="H42" s="16">
        <f t="shared" si="10"/>
        <v>2.0833333333333148E-2</v>
      </c>
      <c r="I42" s="16">
        <f t="shared" si="11"/>
        <v>2.0833333333333148E-2</v>
      </c>
      <c r="J42" s="15">
        <v>0.55625000000000036</v>
      </c>
      <c r="K42" s="15">
        <v>0.59791666666666698</v>
      </c>
      <c r="L42" s="15">
        <v>0.55625000000000036</v>
      </c>
      <c r="M42" s="45">
        <v>0.59791666666666698</v>
      </c>
      <c r="N42" s="16">
        <f t="shared" si="12"/>
        <v>0</v>
      </c>
      <c r="O42" s="16">
        <f t="shared" si="12"/>
        <v>0</v>
      </c>
      <c r="P42" s="16">
        <f t="shared" si="13"/>
        <v>0</v>
      </c>
      <c r="Q42" s="16">
        <f t="shared" si="13"/>
        <v>0</v>
      </c>
      <c r="R42" s="39">
        <f t="shared" si="4"/>
        <v>4.166666666666663E-2</v>
      </c>
      <c r="S42" s="39">
        <f t="shared" si="5"/>
        <v>4.166666666666663E-2</v>
      </c>
    </row>
    <row r="43" spans="1:19" s="19" customFormat="1" ht="15.95" customHeight="1">
      <c r="A43" s="41">
        <f>MAX($A$4:A42)+1</f>
        <v>39</v>
      </c>
      <c r="B43" s="42">
        <v>0.56666666666666698</v>
      </c>
      <c r="C43" s="42">
        <f t="shared" si="8"/>
        <v>0.60833333333333361</v>
      </c>
      <c r="D43" s="42">
        <f t="shared" si="6"/>
        <v>1.041666666666663E-2</v>
      </c>
      <c r="E43" s="42">
        <f t="shared" si="7"/>
        <v>1.041666666666663E-2</v>
      </c>
      <c r="F43" s="42">
        <v>0.56666666666666698</v>
      </c>
      <c r="G43" s="42">
        <f t="shared" si="9"/>
        <v>0.60833333333333361</v>
      </c>
      <c r="H43" s="16">
        <f t="shared" si="10"/>
        <v>2.0833333333333148E-2</v>
      </c>
      <c r="I43" s="16">
        <f t="shared" si="11"/>
        <v>2.0833333333333148E-2</v>
      </c>
      <c r="J43" s="15">
        <v>0.56666666666666698</v>
      </c>
      <c r="K43" s="15">
        <v>0.60833333333333361</v>
      </c>
      <c r="L43" s="15">
        <v>0.56666666666666698</v>
      </c>
      <c r="M43" s="45">
        <v>0.60833333333333361</v>
      </c>
      <c r="N43" s="16">
        <f t="shared" si="12"/>
        <v>0</v>
      </c>
      <c r="O43" s="16">
        <f t="shared" si="12"/>
        <v>0</v>
      </c>
      <c r="P43" s="16">
        <f t="shared" si="13"/>
        <v>0</v>
      </c>
      <c r="Q43" s="16">
        <f t="shared" si="13"/>
        <v>0</v>
      </c>
      <c r="R43" s="39">
        <f t="shared" si="4"/>
        <v>4.166666666666663E-2</v>
      </c>
      <c r="S43" s="39">
        <f t="shared" si="5"/>
        <v>4.166666666666663E-2</v>
      </c>
    </row>
    <row r="44" spans="1:19" s="19" customFormat="1" ht="15.95" customHeight="1">
      <c r="A44" s="41">
        <f>MAX($A$4:A43)+1</f>
        <v>40</v>
      </c>
      <c r="B44" s="42">
        <v>0.57708333333333361</v>
      </c>
      <c r="C44" s="42">
        <f t="shared" si="8"/>
        <v>0.61875000000000024</v>
      </c>
      <c r="D44" s="42">
        <f t="shared" si="6"/>
        <v>1.041666666666663E-2</v>
      </c>
      <c r="E44" s="42">
        <f t="shared" si="7"/>
        <v>1.041666666666663E-2</v>
      </c>
      <c r="F44" s="42">
        <v>0.57708333333333361</v>
      </c>
      <c r="G44" s="42">
        <f t="shared" si="9"/>
        <v>0.61875000000000024</v>
      </c>
      <c r="H44" s="16">
        <f t="shared" si="10"/>
        <v>2.0833333333333148E-2</v>
      </c>
      <c r="I44" s="16">
        <f t="shared" si="11"/>
        <v>2.0833333333333148E-2</v>
      </c>
      <c r="J44" s="15">
        <v>0.57708333333333361</v>
      </c>
      <c r="K44" s="15">
        <v>0.61875000000000024</v>
      </c>
      <c r="L44" s="15">
        <v>0.57708333333333361</v>
      </c>
      <c r="M44" s="45">
        <v>0.61875000000000024</v>
      </c>
      <c r="N44" s="16">
        <f t="shared" si="12"/>
        <v>0</v>
      </c>
      <c r="O44" s="16">
        <f t="shared" si="12"/>
        <v>0</v>
      </c>
      <c r="P44" s="16">
        <f t="shared" si="13"/>
        <v>0</v>
      </c>
      <c r="Q44" s="16">
        <f t="shared" si="13"/>
        <v>0</v>
      </c>
      <c r="R44" s="39">
        <f t="shared" si="4"/>
        <v>4.166666666666663E-2</v>
      </c>
      <c r="S44" s="39">
        <f t="shared" si="5"/>
        <v>4.166666666666663E-2</v>
      </c>
    </row>
    <row r="45" spans="1:19" s="19" customFormat="1" ht="15.95" customHeight="1">
      <c r="A45" s="41">
        <f>MAX($A$4:A44)+1</f>
        <v>41</v>
      </c>
      <c r="B45" s="42">
        <v>0.58750000000000024</v>
      </c>
      <c r="C45" s="42">
        <f t="shared" si="8"/>
        <v>0.62916666666666687</v>
      </c>
      <c r="D45" s="42">
        <f t="shared" si="6"/>
        <v>1.041666666666663E-2</v>
      </c>
      <c r="E45" s="42">
        <f t="shared" si="7"/>
        <v>1.041666666666663E-2</v>
      </c>
      <c r="F45" s="42">
        <v>0.58750000000000024</v>
      </c>
      <c r="G45" s="42">
        <f t="shared" si="9"/>
        <v>0.62916666666666687</v>
      </c>
      <c r="H45" s="16">
        <f t="shared" si="10"/>
        <v>2.0833333333333148E-2</v>
      </c>
      <c r="I45" s="16">
        <f t="shared" si="11"/>
        <v>2.0833333333333148E-2</v>
      </c>
      <c r="J45" s="15">
        <v>0.58750000000000024</v>
      </c>
      <c r="K45" s="15">
        <v>0.62916666666666687</v>
      </c>
      <c r="L45" s="15">
        <v>0.58750000000000024</v>
      </c>
      <c r="M45" s="45">
        <v>0.62916666666666687</v>
      </c>
      <c r="N45" s="16">
        <f t="shared" si="12"/>
        <v>0</v>
      </c>
      <c r="O45" s="16">
        <f t="shared" si="12"/>
        <v>0</v>
      </c>
      <c r="P45" s="16">
        <f t="shared" si="13"/>
        <v>0</v>
      </c>
      <c r="Q45" s="16">
        <f t="shared" si="13"/>
        <v>0</v>
      </c>
      <c r="R45" s="39">
        <f t="shared" si="4"/>
        <v>4.166666666666663E-2</v>
      </c>
      <c r="S45" s="39">
        <f t="shared" si="5"/>
        <v>4.166666666666663E-2</v>
      </c>
    </row>
    <row r="46" spans="1:19" s="19" customFormat="1" ht="15.95" customHeight="1">
      <c r="A46" s="41">
        <f>MAX($A$4:A45)+1</f>
        <v>42</v>
      </c>
      <c r="B46" s="42">
        <v>0.59791666666666687</v>
      </c>
      <c r="C46" s="42">
        <f t="shared" si="8"/>
        <v>0.6395833333333335</v>
      </c>
      <c r="D46" s="42">
        <f t="shared" si="6"/>
        <v>1.041666666666663E-2</v>
      </c>
      <c r="E46" s="42">
        <f t="shared" si="7"/>
        <v>1.041666666666663E-2</v>
      </c>
      <c r="F46" s="42">
        <v>0.59791666666666687</v>
      </c>
      <c r="G46" s="42">
        <f t="shared" si="9"/>
        <v>0.6395833333333335</v>
      </c>
      <c r="H46" s="16">
        <f t="shared" si="10"/>
        <v>2.0833333333333148E-2</v>
      </c>
      <c r="I46" s="16">
        <f t="shared" si="11"/>
        <v>2.0833333333333148E-2</v>
      </c>
      <c r="J46" s="15">
        <v>0.59791666666666687</v>
      </c>
      <c r="K46" s="15">
        <v>0.6395833333333335</v>
      </c>
      <c r="L46" s="15">
        <v>0.59791666666666687</v>
      </c>
      <c r="M46" s="45">
        <v>0.6395833333333335</v>
      </c>
      <c r="N46" s="16">
        <f t="shared" si="12"/>
        <v>0</v>
      </c>
      <c r="O46" s="16">
        <f t="shared" si="12"/>
        <v>0</v>
      </c>
      <c r="P46" s="16">
        <f t="shared" si="13"/>
        <v>0</v>
      </c>
      <c r="Q46" s="16">
        <f t="shared" si="13"/>
        <v>0</v>
      </c>
      <c r="R46" s="39">
        <f t="shared" si="4"/>
        <v>4.166666666666663E-2</v>
      </c>
      <c r="S46" s="39">
        <f t="shared" si="5"/>
        <v>4.166666666666663E-2</v>
      </c>
    </row>
    <row r="47" spans="1:19" s="19" customFormat="1" ht="15.95" customHeight="1">
      <c r="A47" s="41">
        <f>MAX($A$4:A46)+1</f>
        <v>43</v>
      </c>
      <c r="B47" s="42">
        <v>0.6083333333333335</v>
      </c>
      <c r="C47" s="42">
        <f t="shared" si="8"/>
        <v>0.65000000000000013</v>
      </c>
      <c r="D47" s="42">
        <f t="shared" si="6"/>
        <v>1.041666666666663E-2</v>
      </c>
      <c r="E47" s="42">
        <f t="shared" si="7"/>
        <v>1.041666666666663E-2</v>
      </c>
      <c r="F47" s="42">
        <v>0.6083333333333335</v>
      </c>
      <c r="G47" s="42">
        <f t="shared" si="9"/>
        <v>0.65000000000000013</v>
      </c>
      <c r="H47" s="16">
        <f t="shared" si="10"/>
        <v>2.0833333333333148E-2</v>
      </c>
      <c r="I47" s="16">
        <f t="shared" si="11"/>
        <v>2.0833333333333148E-2</v>
      </c>
      <c r="J47" s="15">
        <v>0.6083333333333335</v>
      </c>
      <c r="K47" s="15">
        <v>0.65000000000000013</v>
      </c>
      <c r="L47" s="15">
        <v>0.6083333333333335</v>
      </c>
      <c r="M47" s="45">
        <v>0.65000000000000013</v>
      </c>
      <c r="N47" s="16">
        <f t="shared" si="12"/>
        <v>0</v>
      </c>
      <c r="O47" s="16">
        <f t="shared" si="12"/>
        <v>0</v>
      </c>
      <c r="P47" s="16">
        <f t="shared" si="13"/>
        <v>0</v>
      </c>
      <c r="Q47" s="16">
        <f t="shared" si="13"/>
        <v>0</v>
      </c>
      <c r="R47" s="39">
        <f t="shared" si="4"/>
        <v>4.166666666666663E-2</v>
      </c>
      <c r="S47" s="39">
        <f t="shared" si="5"/>
        <v>4.166666666666663E-2</v>
      </c>
    </row>
    <row r="48" spans="1:19" s="19" customFormat="1" ht="15.95" customHeight="1">
      <c r="A48" s="41">
        <f>MAX($A$4:A47)+1</f>
        <v>44</v>
      </c>
      <c r="B48" s="42">
        <v>0.61875000000000013</v>
      </c>
      <c r="C48" s="42">
        <f t="shared" si="8"/>
        <v>0.66041666666666676</v>
      </c>
      <c r="D48" s="42">
        <f t="shared" si="6"/>
        <v>1.041666666666663E-2</v>
      </c>
      <c r="E48" s="42">
        <f t="shared" si="7"/>
        <v>1.041666666666663E-2</v>
      </c>
      <c r="F48" s="42">
        <v>0.61875000000000013</v>
      </c>
      <c r="G48" s="42">
        <f t="shared" si="9"/>
        <v>0.66041666666666676</v>
      </c>
      <c r="H48" s="16">
        <f t="shared" si="10"/>
        <v>2.0833333333333148E-2</v>
      </c>
      <c r="I48" s="16">
        <f t="shared" si="11"/>
        <v>2.0833333333333148E-2</v>
      </c>
      <c r="J48" s="15">
        <v>0.61875000000000013</v>
      </c>
      <c r="K48" s="15">
        <v>0.66041666666666676</v>
      </c>
      <c r="L48" s="15">
        <v>0.61875000000000013</v>
      </c>
      <c r="M48" s="45">
        <v>0.66041666666666676</v>
      </c>
      <c r="N48" s="16">
        <f t="shared" si="12"/>
        <v>0</v>
      </c>
      <c r="O48" s="16">
        <f t="shared" si="12"/>
        <v>0</v>
      </c>
      <c r="P48" s="16">
        <f t="shared" si="13"/>
        <v>0</v>
      </c>
      <c r="Q48" s="16">
        <f t="shared" si="13"/>
        <v>0</v>
      </c>
      <c r="R48" s="39">
        <f t="shared" si="4"/>
        <v>4.166666666666663E-2</v>
      </c>
      <c r="S48" s="39">
        <f t="shared" si="5"/>
        <v>4.166666666666663E-2</v>
      </c>
    </row>
    <row r="49" spans="1:19" s="19" customFormat="1" ht="15.95" customHeight="1">
      <c r="A49" s="41">
        <f>MAX($A$4:A48)+1</f>
        <v>45</v>
      </c>
      <c r="B49" s="42">
        <v>0.62916666666666676</v>
      </c>
      <c r="C49" s="42">
        <f t="shared" si="8"/>
        <v>0.67083333333333339</v>
      </c>
      <c r="D49" s="42">
        <f t="shared" si="6"/>
        <v>1.041666666666663E-2</v>
      </c>
      <c r="E49" s="42">
        <f t="shared" si="7"/>
        <v>1.041666666666663E-2</v>
      </c>
      <c r="F49" s="42">
        <v>0.62916666666666676</v>
      </c>
      <c r="G49" s="42">
        <f t="shared" si="9"/>
        <v>0.67083333333333339</v>
      </c>
      <c r="H49" s="16">
        <f t="shared" si="10"/>
        <v>2.0833333333333148E-2</v>
      </c>
      <c r="I49" s="16">
        <f t="shared" si="11"/>
        <v>2.0833333333333148E-2</v>
      </c>
      <c r="J49" s="15">
        <v>0.62916666666666676</v>
      </c>
      <c r="K49" s="15">
        <v>0.67083333333333339</v>
      </c>
      <c r="L49" s="15">
        <v>0.62916666666666676</v>
      </c>
      <c r="M49" s="45">
        <v>0.67083333333333339</v>
      </c>
      <c r="N49" s="16">
        <f t="shared" si="12"/>
        <v>0</v>
      </c>
      <c r="O49" s="16">
        <f t="shared" si="12"/>
        <v>0</v>
      </c>
      <c r="P49" s="16">
        <f t="shared" si="13"/>
        <v>0</v>
      </c>
      <c r="Q49" s="16">
        <f t="shared" si="13"/>
        <v>0</v>
      </c>
      <c r="R49" s="39">
        <f t="shared" si="4"/>
        <v>4.166666666666663E-2</v>
      </c>
      <c r="S49" s="39">
        <f t="shared" si="5"/>
        <v>4.166666666666663E-2</v>
      </c>
    </row>
    <row r="50" spans="1:19" s="19" customFormat="1" ht="15.95" customHeight="1">
      <c r="A50" s="41">
        <f>MAX($A$4:A49)+1</f>
        <v>46</v>
      </c>
      <c r="B50" s="42">
        <v>0.63958333333333339</v>
      </c>
      <c r="C50" s="42">
        <f t="shared" si="8"/>
        <v>0.68125000000000002</v>
      </c>
      <c r="D50" s="42">
        <f t="shared" si="6"/>
        <v>1.041666666666663E-2</v>
      </c>
      <c r="E50" s="42">
        <f t="shared" si="7"/>
        <v>1.041666666666663E-2</v>
      </c>
      <c r="F50" s="42">
        <v>0.63958333333333339</v>
      </c>
      <c r="G50" s="42">
        <f t="shared" si="9"/>
        <v>0.68125000000000002</v>
      </c>
      <c r="H50" s="16">
        <f t="shared" si="10"/>
        <v>2.0833333333333148E-2</v>
      </c>
      <c r="I50" s="16">
        <f t="shared" si="11"/>
        <v>2.0833333333333148E-2</v>
      </c>
      <c r="J50" s="15">
        <v>0.63958333333333339</v>
      </c>
      <c r="K50" s="15">
        <v>0.68125000000000002</v>
      </c>
      <c r="L50" s="15">
        <v>0.63958333333333339</v>
      </c>
      <c r="M50" s="45">
        <v>0.68125000000000002</v>
      </c>
      <c r="N50" s="16">
        <f t="shared" si="12"/>
        <v>0</v>
      </c>
      <c r="O50" s="16">
        <f t="shared" si="12"/>
        <v>0</v>
      </c>
      <c r="P50" s="16">
        <f t="shared" si="13"/>
        <v>0</v>
      </c>
      <c r="Q50" s="16">
        <f t="shared" si="13"/>
        <v>0</v>
      </c>
      <c r="R50" s="39">
        <f t="shared" si="4"/>
        <v>4.166666666666663E-2</v>
      </c>
      <c r="S50" s="39">
        <f t="shared" si="5"/>
        <v>4.166666666666663E-2</v>
      </c>
    </row>
    <row r="51" spans="1:19" s="19" customFormat="1" ht="15.95" customHeight="1">
      <c r="A51" s="41">
        <f>MAX($A$4:A50)+1</f>
        <v>47</v>
      </c>
      <c r="B51" s="42">
        <v>0.65</v>
      </c>
      <c r="C51" s="42">
        <f t="shared" si="8"/>
        <v>0.69166666666666665</v>
      </c>
      <c r="D51" s="42">
        <f t="shared" si="6"/>
        <v>1.041666666666663E-2</v>
      </c>
      <c r="E51" s="42">
        <f t="shared" si="7"/>
        <v>1.041666666666663E-2</v>
      </c>
      <c r="F51" s="42">
        <v>0.65</v>
      </c>
      <c r="G51" s="42">
        <f t="shared" si="9"/>
        <v>0.69166666666666665</v>
      </c>
      <c r="H51" s="16">
        <f t="shared" si="10"/>
        <v>2.0833333333333148E-2</v>
      </c>
      <c r="I51" s="16">
        <f t="shared" si="11"/>
        <v>2.0833333333333148E-2</v>
      </c>
      <c r="J51" s="15">
        <v>0.65</v>
      </c>
      <c r="K51" s="15">
        <v>0.69166666666666665</v>
      </c>
      <c r="L51" s="15">
        <v>0.65</v>
      </c>
      <c r="M51" s="45">
        <v>0.69166666666666665</v>
      </c>
      <c r="N51" s="16">
        <f t="shared" si="12"/>
        <v>0</v>
      </c>
      <c r="O51" s="16">
        <f t="shared" si="12"/>
        <v>0</v>
      </c>
      <c r="P51" s="16">
        <f t="shared" si="13"/>
        <v>0</v>
      </c>
      <c r="Q51" s="16">
        <f t="shared" si="13"/>
        <v>0</v>
      </c>
      <c r="R51" s="39">
        <f t="shared" si="4"/>
        <v>4.166666666666663E-2</v>
      </c>
      <c r="S51" s="39">
        <f t="shared" si="5"/>
        <v>4.166666666666663E-2</v>
      </c>
    </row>
    <row r="52" spans="1:19" s="19" customFormat="1" ht="15.95" customHeight="1">
      <c r="A52" s="41">
        <f>MAX($A$4:A51)+1</f>
        <v>48</v>
      </c>
      <c r="B52" s="42">
        <v>0.66041666666666665</v>
      </c>
      <c r="C52" s="42">
        <f t="shared" si="8"/>
        <v>0.70208333333333328</v>
      </c>
      <c r="D52" s="42">
        <f t="shared" si="6"/>
        <v>1.041666666666663E-2</v>
      </c>
      <c r="E52" s="42">
        <f t="shared" si="7"/>
        <v>1.041666666666663E-2</v>
      </c>
      <c r="F52" s="42">
        <v>0.66041666666666665</v>
      </c>
      <c r="G52" s="42">
        <f t="shared" si="9"/>
        <v>0.70208333333333328</v>
      </c>
      <c r="H52" s="16">
        <f t="shared" si="10"/>
        <v>2.0833333333333148E-2</v>
      </c>
      <c r="I52" s="16">
        <f t="shared" si="11"/>
        <v>2.0833333333333148E-2</v>
      </c>
      <c r="J52" s="15">
        <v>0.66041666666666665</v>
      </c>
      <c r="K52" s="15">
        <v>0.70208333333333328</v>
      </c>
      <c r="L52" s="15">
        <v>0.66041666666666665</v>
      </c>
      <c r="M52" s="45">
        <v>0.70208333333333328</v>
      </c>
      <c r="N52" s="16">
        <f t="shared" si="12"/>
        <v>0</v>
      </c>
      <c r="O52" s="16">
        <f t="shared" si="12"/>
        <v>0</v>
      </c>
      <c r="P52" s="16">
        <f t="shared" si="13"/>
        <v>0</v>
      </c>
      <c r="Q52" s="16">
        <f t="shared" si="13"/>
        <v>0</v>
      </c>
      <c r="R52" s="39">
        <f t="shared" si="4"/>
        <v>4.166666666666663E-2</v>
      </c>
      <c r="S52" s="39">
        <f t="shared" si="5"/>
        <v>4.166666666666663E-2</v>
      </c>
    </row>
    <row r="53" spans="1:19" s="19" customFormat="1" ht="15.95" customHeight="1">
      <c r="A53" s="41">
        <f>MAX($A$4:A52)+1</f>
        <v>49</v>
      </c>
      <c r="B53" s="42">
        <v>0.67083333333333328</v>
      </c>
      <c r="C53" s="42">
        <f t="shared" si="8"/>
        <v>0.71249999999999991</v>
      </c>
      <c r="D53" s="42">
        <f t="shared" si="6"/>
        <v>1.041666666666663E-2</v>
      </c>
      <c r="E53" s="42">
        <f t="shared" si="7"/>
        <v>1.041666666666663E-2</v>
      </c>
      <c r="F53" s="42">
        <v>0.67083333333333328</v>
      </c>
      <c r="G53" s="42">
        <f t="shared" si="9"/>
        <v>0.71249999999999991</v>
      </c>
      <c r="H53" s="16">
        <f t="shared" si="10"/>
        <v>2.0833333333333148E-2</v>
      </c>
      <c r="I53" s="16">
        <f t="shared" si="11"/>
        <v>2.0833333333333148E-2</v>
      </c>
      <c r="J53" s="15">
        <v>0.67083333333333328</v>
      </c>
      <c r="K53" s="15">
        <v>0.71249999999999991</v>
      </c>
      <c r="L53" s="15">
        <v>0.67083333333333328</v>
      </c>
      <c r="M53" s="45">
        <v>0.71249999999999991</v>
      </c>
      <c r="N53" s="16">
        <f t="shared" si="12"/>
        <v>0</v>
      </c>
      <c r="O53" s="16">
        <f t="shared" si="12"/>
        <v>0</v>
      </c>
      <c r="P53" s="16">
        <f t="shared" si="13"/>
        <v>0</v>
      </c>
      <c r="Q53" s="16">
        <f t="shared" si="13"/>
        <v>0</v>
      </c>
      <c r="R53" s="39">
        <f t="shared" si="4"/>
        <v>4.166666666666663E-2</v>
      </c>
      <c r="S53" s="39">
        <f t="shared" si="5"/>
        <v>4.166666666666663E-2</v>
      </c>
    </row>
    <row r="54" spans="1:19" s="19" customFormat="1" ht="15.95" customHeight="1">
      <c r="A54" s="41">
        <f>MAX($A$4:A53)+1</f>
        <v>50</v>
      </c>
      <c r="B54" s="42">
        <v>0.67916666666666659</v>
      </c>
      <c r="C54" s="42">
        <f t="shared" si="8"/>
        <v>0.72083333333333321</v>
      </c>
      <c r="D54" s="42">
        <f t="shared" si="6"/>
        <v>8.3333333333333037E-3</v>
      </c>
      <c r="E54" s="42">
        <f t="shared" si="7"/>
        <v>8.3333333333333037E-3</v>
      </c>
      <c r="F54" s="42">
        <v>0.67916666666666659</v>
      </c>
      <c r="G54" s="42">
        <f t="shared" si="9"/>
        <v>0.72083333333333321</v>
      </c>
      <c r="H54" s="16">
        <f t="shared" si="10"/>
        <v>1.8749999999999822E-2</v>
      </c>
      <c r="I54" s="16">
        <f t="shared" si="11"/>
        <v>1.8749999999999822E-2</v>
      </c>
      <c r="J54" s="15">
        <v>0.67916666666666659</v>
      </c>
      <c r="K54" s="15">
        <v>0.72083333333333321</v>
      </c>
      <c r="L54" s="15">
        <v>0.67916666666666659</v>
      </c>
      <c r="M54" s="45">
        <v>0.72083333333333321</v>
      </c>
      <c r="N54" s="16">
        <f t="shared" si="12"/>
        <v>0</v>
      </c>
      <c r="O54" s="16">
        <f t="shared" si="12"/>
        <v>0</v>
      </c>
      <c r="P54" s="16">
        <f t="shared" si="13"/>
        <v>0</v>
      </c>
      <c r="Q54" s="16">
        <f t="shared" si="13"/>
        <v>0</v>
      </c>
      <c r="R54" s="39">
        <f t="shared" si="4"/>
        <v>4.166666666666663E-2</v>
      </c>
      <c r="S54" s="39">
        <f t="shared" si="5"/>
        <v>4.166666666666663E-2</v>
      </c>
    </row>
    <row r="55" spans="1:19" s="19" customFormat="1" ht="15.95" customHeight="1">
      <c r="A55" s="41">
        <f>MAX($A$4:A54)+1</f>
        <v>51</v>
      </c>
      <c r="B55" s="42">
        <v>0.68749999999999989</v>
      </c>
      <c r="C55" s="42">
        <f t="shared" si="8"/>
        <v>0.72916666666666652</v>
      </c>
      <c r="D55" s="42">
        <f t="shared" si="6"/>
        <v>8.3333333333333037E-3</v>
      </c>
      <c r="E55" s="42">
        <f t="shared" si="7"/>
        <v>8.3333333333333037E-3</v>
      </c>
      <c r="F55" s="42">
        <v>0.68749999999999989</v>
      </c>
      <c r="G55" s="42">
        <f t="shared" si="9"/>
        <v>0.72916666666666652</v>
      </c>
      <c r="H55" s="16">
        <f t="shared" si="10"/>
        <v>1.6666666666666496E-2</v>
      </c>
      <c r="I55" s="16">
        <f t="shared" si="11"/>
        <v>1.6666666666666496E-2</v>
      </c>
      <c r="J55" s="15">
        <v>0.68749999999999989</v>
      </c>
      <c r="K55" s="15">
        <v>0.72916666666666652</v>
      </c>
      <c r="L55" s="15">
        <v>0.68749999999999989</v>
      </c>
      <c r="M55" s="45">
        <v>0.72916666666666652</v>
      </c>
      <c r="N55" s="16">
        <f t="shared" si="12"/>
        <v>0</v>
      </c>
      <c r="O55" s="16">
        <f t="shared" si="12"/>
        <v>0</v>
      </c>
      <c r="P55" s="16">
        <f t="shared" si="13"/>
        <v>0</v>
      </c>
      <c r="Q55" s="16">
        <f t="shared" si="13"/>
        <v>0</v>
      </c>
      <c r="R55" s="39">
        <f t="shared" si="4"/>
        <v>4.166666666666663E-2</v>
      </c>
      <c r="S55" s="39">
        <f t="shared" si="5"/>
        <v>4.166666666666663E-2</v>
      </c>
    </row>
    <row r="56" spans="1:19" s="19" customFormat="1" ht="15.95" customHeight="1">
      <c r="A56" s="41">
        <f>MAX($A$4:A55)+1</f>
        <v>52</v>
      </c>
      <c r="B56" s="42">
        <v>0.69583333333333319</v>
      </c>
      <c r="C56" s="42">
        <f t="shared" si="8"/>
        <v>0.73749999999999982</v>
      </c>
      <c r="D56" s="42">
        <f t="shared" si="6"/>
        <v>8.3333333333333037E-3</v>
      </c>
      <c r="E56" s="42">
        <f t="shared" si="7"/>
        <v>8.3333333333333037E-3</v>
      </c>
      <c r="F56" s="42">
        <v>0.69583333333333319</v>
      </c>
      <c r="G56" s="42">
        <f t="shared" si="9"/>
        <v>0.73749999999999982</v>
      </c>
      <c r="H56" s="16">
        <f t="shared" si="10"/>
        <v>1.4583333333333171E-2</v>
      </c>
      <c r="I56" s="16">
        <f t="shared" si="11"/>
        <v>1.4583333333333171E-2</v>
      </c>
      <c r="J56" s="15">
        <v>0.69583333333333319</v>
      </c>
      <c r="K56" s="15">
        <v>0.73749999999999982</v>
      </c>
      <c r="L56" s="15">
        <v>0.69583333333333319</v>
      </c>
      <c r="M56" s="45">
        <v>0.73749999999999982</v>
      </c>
      <c r="N56" s="16">
        <f t="shared" si="12"/>
        <v>0</v>
      </c>
      <c r="O56" s="16">
        <f t="shared" si="12"/>
        <v>0</v>
      </c>
      <c r="P56" s="16">
        <f t="shared" si="13"/>
        <v>0</v>
      </c>
      <c r="Q56" s="16">
        <f t="shared" si="13"/>
        <v>0</v>
      </c>
      <c r="R56" s="39">
        <f t="shared" si="4"/>
        <v>4.166666666666663E-2</v>
      </c>
      <c r="S56" s="39">
        <f t="shared" si="5"/>
        <v>4.166666666666663E-2</v>
      </c>
    </row>
    <row r="57" spans="1:19" s="19" customFormat="1" ht="15.95" customHeight="1">
      <c r="A57" s="41">
        <f>MAX($A$4:A56)+1</f>
        <v>53</v>
      </c>
      <c r="B57" s="42">
        <v>0.7041666666666665</v>
      </c>
      <c r="C57" s="42">
        <f t="shared" si="8"/>
        <v>0.74583333333333313</v>
      </c>
      <c r="D57" s="42">
        <f t="shared" si="6"/>
        <v>8.3333333333333037E-3</v>
      </c>
      <c r="E57" s="42">
        <f t="shared" si="7"/>
        <v>8.3333333333333037E-3</v>
      </c>
      <c r="F57" s="42">
        <v>0.7041666666666665</v>
      </c>
      <c r="G57" s="42">
        <f t="shared" si="9"/>
        <v>0.74583333333333313</v>
      </c>
      <c r="H57" s="16">
        <f t="shared" si="10"/>
        <v>1.2499999999999845E-2</v>
      </c>
      <c r="I57" s="16">
        <f t="shared" si="11"/>
        <v>1.2499999999999845E-2</v>
      </c>
      <c r="J57" s="15">
        <v>0.7041666666666665</v>
      </c>
      <c r="K57" s="15">
        <v>0.74583333333333313</v>
      </c>
      <c r="L57" s="15">
        <v>0.7041666666666665</v>
      </c>
      <c r="M57" s="45">
        <v>0.74583333333333313</v>
      </c>
      <c r="N57" s="16">
        <f t="shared" si="12"/>
        <v>0</v>
      </c>
      <c r="O57" s="16">
        <f t="shared" si="12"/>
        <v>0</v>
      </c>
      <c r="P57" s="16">
        <f t="shared" si="13"/>
        <v>0</v>
      </c>
      <c r="Q57" s="16">
        <f t="shared" si="13"/>
        <v>0</v>
      </c>
      <c r="R57" s="39">
        <f t="shared" si="4"/>
        <v>4.166666666666663E-2</v>
      </c>
      <c r="S57" s="39">
        <f t="shared" si="5"/>
        <v>4.166666666666663E-2</v>
      </c>
    </row>
    <row r="58" spans="1:19" s="19" customFormat="1" ht="15.95" customHeight="1">
      <c r="A58" s="41">
        <f>MAX($A$4:A57)+1</f>
        <v>54</v>
      </c>
      <c r="B58" s="42">
        <v>0.7124999999999998</v>
      </c>
      <c r="C58" s="42">
        <f t="shared" si="8"/>
        <v>0.75416666666666643</v>
      </c>
      <c r="D58" s="42">
        <f t="shared" si="6"/>
        <v>8.3333333333333037E-3</v>
      </c>
      <c r="E58" s="42">
        <f t="shared" si="7"/>
        <v>8.3333333333333037E-3</v>
      </c>
      <c r="F58" s="42">
        <v>0.7124999999999998</v>
      </c>
      <c r="G58" s="42">
        <f t="shared" si="9"/>
        <v>0.75416666666666643</v>
      </c>
      <c r="H58" s="16">
        <f t="shared" si="10"/>
        <v>1.0416666666666519E-2</v>
      </c>
      <c r="I58" s="16">
        <f t="shared" si="11"/>
        <v>1.0416666666666519E-2</v>
      </c>
      <c r="J58" s="15">
        <v>0.7124999999999998</v>
      </c>
      <c r="K58" s="15">
        <v>0.75416666666666643</v>
      </c>
      <c r="L58" s="15">
        <v>0.7124999999999998</v>
      </c>
      <c r="M58" s="45">
        <v>0.75416666666666643</v>
      </c>
      <c r="N58" s="16">
        <f t="shared" si="12"/>
        <v>0</v>
      </c>
      <c r="O58" s="16">
        <f t="shared" si="12"/>
        <v>0</v>
      </c>
      <c r="P58" s="16">
        <f t="shared" si="13"/>
        <v>0</v>
      </c>
      <c r="Q58" s="16">
        <f t="shared" si="13"/>
        <v>0</v>
      </c>
      <c r="R58" s="39">
        <f t="shared" si="4"/>
        <v>4.166666666666663E-2</v>
      </c>
      <c r="S58" s="39">
        <f t="shared" si="5"/>
        <v>4.166666666666663E-2</v>
      </c>
    </row>
    <row r="59" spans="1:19" s="19" customFormat="1" ht="15.95" customHeight="1">
      <c r="A59" s="41">
        <f>MAX($A$4:A58)+1</f>
        <v>55</v>
      </c>
      <c r="B59" s="42">
        <v>0.7208333333333331</v>
      </c>
      <c r="C59" s="42">
        <f t="shared" si="8"/>
        <v>0.76249999999999973</v>
      </c>
      <c r="D59" s="42">
        <f t="shared" si="6"/>
        <v>8.3333333333333037E-3</v>
      </c>
      <c r="E59" s="42">
        <f t="shared" si="7"/>
        <v>8.3333333333333037E-3</v>
      </c>
      <c r="F59" s="42">
        <v>0.7208333333333331</v>
      </c>
      <c r="G59" s="42">
        <f t="shared" si="9"/>
        <v>0.76249999999999973</v>
      </c>
      <c r="H59" s="16">
        <f t="shared" si="10"/>
        <v>8.3333333333331927E-3</v>
      </c>
      <c r="I59" s="16">
        <f t="shared" si="11"/>
        <v>8.3333333333331927E-3</v>
      </c>
      <c r="J59" s="15">
        <v>0.7208333333333331</v>
      </c>
      <c r="K59" s="15">
        <v>0.76249999999999973</v>
      </c>
      <c r="L59" s="15">
        <v>0.7208333333333331</v>
      </c>
      <c r="M59" s="45">
        <v>0.76249999999999973</v>
      </c>
      <c r="N59" s="16">
        <f t="shared" si="12"/>
        <v>0</v>
      </c>
      <c r="O59" s="16">
        <f t="shared" si="12"/>
        <v>0</v>
      </c>
      <c r="P59" s="16">
        <f t="shared" si="13"/>
        <v>0</v>
      </c>
      <c r="Q59" s="16">
        <f t="shared" si="13"/>
        <v>0</v>
      </c>
      <c r="R59" s="39">
        <f t="shared" si="4"/>
        <v>4.166666666666663E-2</v>
      </c>
      <c r="S59" s="39">
        <f t="shared" si="5"/>
        <v>4.166666666666663E-2</v>
      </c>
    </row>
    <row r="60" spans="1:19" s="19" customFormat="1" ht="15.95" customHeight="1">
      <c r="A60" s="41">
        <f>MAX($A$4:A59)+1</f>
        <v>56</v>
      </c>
      <c r="B60" s="42">
        <v>0.73124999999999973</v>
      </c>
      <c r="C60" s="42">
        <f t="shared" si="8"/>
        <v>0.77291666666666636</v>
      </c>
      <c r="D60" s="42">
        <f t="shared" si="6"/>
        <v>1.041666666666663E-2</v>
      </c>
      <c r="E60" s="42">
        <f t="shared" si="7"/>
        <v>1.041666666666663E-2</v>
      </c>
      <c r="F60" s="42">
        <v>0.73124999999999973</v>
      </c>
      <c r="G60" s="42">
        <f t="shared" si="9"/>
        <v>0.77291666666666636</v>
      </c>
      <c r="H60" s="16">
        <f t="shared" si="10"/>
        <v>1.0416666666666519E-2</v>
      </c>
      <c r="I60" s="16">
        <f t="shared" si="11"/>
        <v>1.0416666666666519E-2</v>
      </c>
      <c r="J60" s="15">
        <v>0.73124999999999973</v>
      </c>
      <c r="K60" s="15">
        <v>0.77291666666666636</v>
      </c>
      <c r="L60" s="15">
        <v>0.73124999999999973</v>
      </c>
      <c r="M60" s="45">
        <v>0.77291666666666636</v>
      </c>
      <c r="N60" s="16">
        <f t="shared" si="12"/>
        <v>0</v>
      </c>
      <c r="O60" s="16">
        <f t="shared" si="12"/>
        <v>0</v>
      </c>
      <c r="P60" s="16">
        <f t="shared" si="13"/>
        <v>0</v>
      </c>
      <c r="Q60" s="16">
        <f t="shared" si="13"/>
        <v>0</v>
      </c>
      <c r="R60" s="39">
        <f t="shared" si="4"/>
        <v>4.166666666666663E-2</v>
      </c>
      <c r="S60" s="39">
        <f t="shared" si="5"/>
        <v>4.166666666666663E-2</v>
      </c>
    </row>
    <row r="61" spans="1:19" s="19" customFormat="1" ht="15.95" customHeight="1">
      <c r="A61" s="41">
        <f>MAX($A$4:A60)+1</f>
        <v>57</v>
      </c>
      <c r="B61" s="42">
        <v>0.74374999999999969</v>
      </c>
      <c r="C61" s="42">
        <f t="shared" si="8"/>
        <v>0.78541666666666632</v>
      </c>
      <c r="D61" s="42">
        <f t="shared" si="6"/>
        <v>1.2499999999999956E-2</v>
      </c>
      <c r="E61" s="42">
        <f t="shared" si="7"/>
        <v>1.2499999999999956E-2</v>
      </c>
      <c r="F61" s="42">
        <v>0.74374999999999969</v>
      </c>
      <c r="G61" s="42">
        <f t="shared" si="9"/>
        <v>0.78541666666666632</v>
      </c>
      <c r="H61" s="16">
        <f t="shared" si="10"/>
        <v>1.4583333333333171E-2</v>
      </c>
      <c r="I61" s="16">
        <f t="shared" si="11"/>
        <v>1.4583333333333171E-2</v>
      </c>
      <c r="J61" s="15">
        <v>0.74374999999999969</v>
      </c>
      <c r="K61" s="15">
        <v>0.78541666666666632</v>
      </c>
      <c r="L61" s="15">
        <v>0.74374999999999969</v>
      </c>
      <c r="M61" s="45">
        <v>0.78541666666666632</v>
      </c>
      <c r="N61" s="16">
        <f t="shared" si="12"/>
        <v>0</v>
      </c>
      <c r="O61" s="16">
        <f t="shared" si="12"/>
        <v>0</v>
      </c>
      <c r="P61" s="16">
        <f t="shared" si="13"/>
        <v>0</v>
      </c>
      <c r="Q61" s="16">
        <f t="shared" si="13"/>
        <v>0</v>
      </c>
      <c r="R61" s="39">
        <f t="shared" si="4"/>
        <v>4.166666666666663E-2</v>
      </c>
      <c r="S61" s="39">
        <f t="shared" si="5"/>
        <v>4.166666666666663E-2</v>
      </c>
    </row>
    <row r="62" spans="1:19" s="19" customFormat="1" ht="15.95" customHeight="1">
      <c r="A62" s="41">
        <f>MAX($A$4:A61)+1</f>
        <v>58</v>
      </c>
      <c r="B62" s="42">
        <v>0.75624999999999964</v>
      </c>
      <c r="C62" s="42">
        <f t="shared" si="8"/>
        <v>0.79791666666666627</v>
      </c>
      <c r="D62" s="42">
        <f t="shared" si="6"/>
        <v>1.2499999999999956E-2</v>
      </c>
      <c r="E62" s="42">
        <f t="shared" si="7"/>
        <v>1.2499999999999956E-2</v>
      </c>
      <c r="F62" s="42">
        <v>0.75624999999999964</v>
      </c>
      <c r="G62" s="42">
        <f t="shared" si="9"/>
        <v>0.79791666666666627</v>
      </c>
      <c r="H62" s="16">
        <f t="shared" si="10"/>
        <v>1.8749999999999822E-2</v>
      </c>
      <c r="I62" s="16">
        <f t="shared" si="11"/>
        <v>1.8749999999999822E-2</v>
      </c>
      <c r="J62" s="15">
        <v>0.75624999999999964</v>
      </c>
      <c r="K62" s="15">
        <v>0.79791666666666627</v>
      </c>
      <c r="L62" s="15">
        <v>0.75624999999999964</v>
      </c>
      <c r="M62" s="45">
        <v>0.79791666666666627</v>
      </c>
      <c r="N62" s="16">
        <f t="shared" si="12"/>
        <v>0</v>
      </c>
      <c r="O62" s="16">
        <f t="shared" si="12"/>
        <v>0</v>
      </c>
      <c r="P62" s="16">
        <f t="shared" si="13"/>
        <v>0</v>
      </c>
      <c r="Q62" s="16">
        <f t="shared" si="13"/>
        <v>0</v>
      </c>
      <c r="R62" s="39">
        <f t="shared" si="4"/>
        <v>4.166666666666663E-2</v>
      </c>
      <c r="S62" s="39">
        <f t="shared" si="5"/>
        <v>4.166666666666663E-2</v>
      </c>
    </row>
    <row r="63" spans="1:19" s="19" customFormat="1" ht="15.95" customHeight="1">
      <c r="A63" s="41">
        <f>MAX($A$4:A62)+1</f>
        <v>59</v>
      </c>
      <c r="B63" s="42">
        <v>0.7687499999999996</v>
      </c>
      <c r="C63" s="42">
        <f t="shared" si="8"/>
        <v>0.81041666666666623</v>
      </c>
      <c r="D63" s="42">
        <f t="shared" si="6"/>
        <v>1.2499999999999956E-2</v>
      </c>
      <c r="E63" s="42">
        <f t="shared" si="7"/>
        <v>1.2499999999999956E-2</v>
      </c>
      <c r="F63" s="42">
        <v>0.7687499999999996</v>
      </c>
      <c r="G63" s="42">
        <f t="shared" si="9"/>
        <v>0.81041666666666623</v>
      </c>
      <c r="H63" s="16">
        <f t="shared" si="10"/>
        <v>2.2916666666666474E-2</v>
      </c>
      <c r="I63" s="16">
        <f t="shared" si="11"/>
        <v>2.2916666666666474E-2</v>
      </c>
      <c r="J63" s="15">
        <v>0.7687499999999996</v>
      </c>
      <c r="K63" s="15">
        <v>0.81041666666666623</v>
      </c>
      <c r="L63" s="15">
        <v>0.7687499999999996</v>
      </c>
      <c r="M63" s="45">
        <v>0.81041666666666623</v>
      </c>
      <c r="N63" s="16">
        <f t="shared" si="12"/>
        <v>0</v>
      </c>
      <c r="O63" s="16">
        <f t="shared" si="12"/>
        <v>0</v>
      </c>
      <c r="P63" s="16">
        <f t="shared" si="13"/>
        <v>0</v>
      </c>
      <c r="Q63" s="16">
        <f t="shared" si="13"/>
        <v>0</v>
      </c>
      <c r="R63" s="39">
        <f t="shared" si="4"/>
        <v>4.166666666666663E-2</v>
      </c>
      <c r="S63" s="39">
        <f t="shared" si="5"/>
        <v>4.166666666666663E-2</v>
      </c>
    </row>
    <row r="64" spans="1:19" s="19" customFormat="1" ht="15.95" customHeight="1">
      <c r="A64" s="41">
        <f>MAX($A$4:A63)+1</f>
        <v>60</v>
      </c>
      <c r="B64" s="42">
        <v>0.78124999999999956</v>
      </c>
      <c r="C64" s="42">
        <f t="shared" si="8"/>
        <v>0.82291666666666619</v>
      </c>
      <c r="D64" s="42">
        <f t="shared" si="6"/>
        <v>1.2499999999999956E-2</v>
      </c>
      <c r="E64" s="42">
        <f t="shared" si="7"/>
        <v>1.2499999999999956E-2</v>
      </c>
      <c r="F64" s="42">
        <v>0.78124999999999956</v>
      </c>
      <c r="G64" s="42">
        <f t="shared" si="9"/>
        <v>0.82291666666666619</v>
      </c>
      <c r="H64" s="16">
        <f t="shared" si="10"/>
        <v>2.7083333333333126E-2</v>
      </c>
      <c r="I64" s="16">
        <f t="shared" si="11"/>
        <v>2.7083333333333126E-2</v>
      </c>
      <c r="J64" s="15">
        <v>0.78124999999999956</v>
      </c>
      <c r="K64" s="15">
        <v>0.82291666666666619</v>
      </c>
      <c r="L64" s="15">
        <v>0.78124999999999956</v>
      </c>
      <c r="M64" s="45">
        <v>0.82291666666666619</v>
      </c>
      <c r="N64" s="16">
        <f t="shared" si="12"/>
        <v>0</v>
      </c>
      <c r="O64" s="16">
        <f t="shared" si="12"/>
        <v>0</v>
      </c>
      <c r="P64" s="16">
        <f t="shared" si="13"/>
        <v>0</v>
      </c>
      <c r="Q64" s="16">
        <f t="shared" si="13"/>
        <v>0</v>
      </c>
      <c r="R64" s="39">
        <f t="shared" si="4"/>
        <v>4.166666666666663E-2</v>
      </c>
      <c r="S64" s="39">
        <f t="shared" si="5"/>
        <v>4.166666666666663E-2</v>
      </c>
    </row>
    <row r="65" spans="1:19" s="19" customFormat="1" ht="15.95" customHeight="1">
      <c r="A65" s="41">
        <f>MAX($A$4:A64)+1</f>
        <v>61</v>
      </c>
      <c r="B65" s="42">
        <v>0.79374999999999951</v>
      </c>
      <c r="C65" s="42">
        <f t="shared" si="8"/>
        <v>0.83541666666666614</v>
      </c>
      <c r="D65" s="42">
        <f t="shared" si="6"/>
        <v>1.2499999999999956E-2</v>
      </c>
      <c r="E65" s="42">
        <f t="shared" si="7"/>
        <v>1.2499999999999956E-2</v>
      </c>
      <c r="F65" s="42">
        <v>0.79374999999999951</v>
      </c>
      <c r="G65" s="42">
        <f t="shared" si="9"/>
        <v>0.83541666666666614</v>
      </c>
      <c r="H65" s="16">
        <f t="shared" si="10"/>
        <v>3.1249999999999778E-2</v>
      </c>
      <c r="I65" s="16">
        <f t="shared" si="11"/>
        <v>3.1249999999999778E-2</v>
      </c>
      <c r="J65" s="15">
        <v>0.79374999999999951</v>
      </c>
      <c r="K65" s="15">
        <v>0.83541666666666614</v>
      </c>
      <c r="L65" s="15">
        <v>0.79374999999999951</v>
      </c>
      <c r="M65" s="45">
        <v>0.83541666666666614</v>
      </c>
      <c r="N65" s="16">
        <f t="shared" si="12"/>
        <v>0</v>
      </c>
      <c r="O65" s="16">
        <f t="shared" si="12"/>
        <v>0</v>
      </c>
      <c r="P65" s="16">
        <f t="shared" si="13"/>
        <v>0</v>
      </c>
      <c r="Q65" s="16">
        <f t="shared" si="13"/>
        <v>0</v>
      </c>
      <c r="R65" s="39">
        <f t="shared" si="4"/>
        <v>4.166666666666663E-2</v>
      </c>
      <c r="S65" s="39">
        <f t="shared" si="5"/>
        <v>4.166666666666663E-2</v>
      </c>
    </row>
    <row r="66" spans="1:19" s="19" customFormat="1" ht="15.95" customHeight="1">
      <c r="A66" s="41">
        <f>MAX($A$4:A65)+1</f>
        <v>62</v>
      </c>
      <c r="B66" s="42">
        <v>0.80624999999999947</v>
      </c>
      <c r="C66" s="42">
        <f t="shared" si="8"/>
        <v>0.8479166666666661</v>
      </c>
      <c r="D66" s="42">
        <f t="shared" si="6"/>
        <v>1.2499999999999956E-2</v>
      </c>
      <c r="E66" s="42">
        <f t="shared" si="7"/>
        <v>1.2499999999999956E-2</v>
      </c>
      <c r="F66" s="42">
        <v>0.80624999999999947</v>
      </c>
      <c r="G66" s="42">
        <f t="shared" si="9"/>
        <v>0.8479166666666661</v>
      </c>
      <c r="H66" s="16">
        <f t="shared" si="10"/>
        <v>3.3333333333333104E-2</v>
      </c>
      <c r="I66" s="16">
        <f t="shared" si="11"/>
        <v>3.3333333333333104E-2</v>
      </c>
      <c r="J66" s="15">
        <v>0.80624999999999947</v>
      </c>
      <c r="K66" s="15">
        <v>0.8479166666666661</v>
      </c>
      <c r="L66" s="15">
        <v>0.80624999999999947</v>
      </c>
      <c r="M66" s="45">
        <v>0.8479166666666661</v>
      </c>
      <c r="N66" s="16">
        <f t="shared" si="12"/>
        <v>0</v>
      </c>
      <c r="O66" s="16">
        <f t="shared" si="12"/>
        <v>0</v>
      </c>
      <c r="P66" s="16">
        <f t="shared" si="13"/>
        <v>0</v>
      </c>
      <c r="Q66" s="16">
        <f t="shared" si="13"/>
        <v>0</v>
      </c>
      <c r="R66" s="39">
        <f t="shared" si="4"/>
        <v>4.166666666666663E-2</v>
      </c>
      <c r="S66" s="39">
        <f t="shared" si="5"/>
        <v>4.166666666666663E-2</v>
      </c>
    </row>
    <row r="67" spans="1:19" s="19" customFormat="1" ht="15.95" customHeight="1">
      <c r="A67" s="41">
        <f>MAX($A$4:A66)+1</f>
        <v>63</v>
      </c>
      <c r="B67" s="42">
        <v>0.81874999999999942</v>
      </c>
      <c r="C67" s="42">
        <f t="shared" si="8"/>
        <v>0.86041666666666605</v>
      </c>
      <c r="D67" s="42">
        <f t="shared" si="6"/>
        <v>1.2499999999999956E-2</v>
      </c>
      <c r="E67" s="42">
        <f t="shared" si="7"/>
        <v>1.2499999999999956E-2</v>
      </c>
      <c r="F67" s="42">
        <v>0.81874999999999942</v>
      </c>
      <c r="G67" s="42">
        <f t="shared" si="9"/>
        <v>0.86041666666666605</v>
      </c>
      <c r="H67" s="16">
        <f t="shared" si="10"/>
        <v>3.3333333333333104E-2</v>
      </c>
      <c r="I67" s="16">
        <f t="shared" si="11"/>
        <v>3.3333333333333104E-2</v>
      </c>
      <c r="J67" s="15">
        <v>0.81874999999999942</v>
      </c>
      <c r="K67" s="15">
        <v>0.86041666666666605</v>
      </c>
      <c r="L67" s="15">
        <v>0.81874999999999942</v>
      </c>
      <c r="M67" s="45">
        <v>0.86041666666666605</v>
      </c>
      <c r="N67" s="16">
        <f t="shared" si="12"/>
        <v>0</v>
      </c>
      <c r="O67" s="16">
        <f t="shared" si="12"/>
        <v>0</v>
      </c>
      <c r="P67" s="16">
        <f t="shared" si="13"/>
        <v>0</v>
      </c>
      <c r="Q67" s="16">
        <f t="shared" si="13"/>
        <v>0</v>
      </c>
      <c r="R67" s="39">
        <f t="shared" si="4"/>
        <v>4.166666666666663E-2</v>
      </c>
      <c r="S67" s="39">
        <f t="shared" si="5"/>
        <v>4.166666666666663E-2</v>
      </c>
    </row>
    <row r="68" spans="1:19" s="19" customFormat="1" ht="15.95" customHeight="1">
      <c r="A68" s="41">
        <f>MAX($A$4:A67)+1</f>
        <v>64</v>
      </c>
      <c r="B68" s="42">
        <v>0.83124999999999938</v>
      </c>
      <c r="C68" s="42">
        <f t="shared" si="8"/>
        <v>0.87291666666666601</v>
      </c>
      <c r="D68" s="42">
        <f t="shared" si="6"/>
        <v>1.2499999999999956E-2</v>
      </c>
      <c r="E68" s="42">
        <f t="shared" si="7"/>
        <v>1.2499999999999956E-2</v>
      </c>
      <c r="F68" s="42">
        <v>0.83124999999999938</v>
      </c>
      <c r="G68" s="42">
        <f t="shared" si="9"/>
        <v>0.87291666666666601</v>
      </c>
      <c r="H68" s="16">
        <f t="shared" si="10"/>
        <v>3.3333333333333104E-2</v>
      </c>
      <c r="I68" s="16">
        <f t="shared" si="11"/>
        <v>3.3333333333333104E-2</v>
      </c>
      <c r="J68" s="15">
        <v>0.83124999999999938</v>
      </c>
      <c r="K68" s="15">
        <v>0.87291666666666601</v>
      </c>
      <c r="L68" s="15">
        <v>0.83124999999999938</v>
      </c>
      <c r="M68" s="45">
        <v>0.87291666666666601</v>
      </c>
      <c r="N68" s="16">
        <f t="shared" si="12"/>
        <v>0</v>
      </c>
      <c r="O68" s="16">
        <f t="shared" si="12"/>
        <v>0</v>
      </c>
      <c r="P68" s="16">
        <f t="shared" si="13"/>
        <v>0</v>
      </c>
      <c r="Q68" s="16">
        <f t="shared" si="13"/>
        <v>0</v>
      </c>
      <c r="R68" s="39">
        <f t="shared" si="4"/>
        <v>4.166666666666663E-2</v>
      </c>
      <c r="S68" s="39">
        <f t="shared" si="5"/>
        <v>4.166666666666663E-2</v>
      </c>
    </row>
    <row r="69" spans="1:19" s="19" customFormat="1" ht="15.95" customHeight="1">
      <c r="A69" s="41">
        <f>MAX($A$4:A68)+1</f>
        <v>65</v>
      </c>
      <c r="B69" s="42">
        <v>0.84374999999999933</v>
      </c>
      <c r="C69" s="42">
        <f t="shared" ref="C69" si="14">B69+$H$3</f>
        <v>0.88541666666666596</v>
      </c>
      <c r="D69" s="42">
        <f t="shared" si="6"/>
        <v>1.2499999999999956E-2</v>
      </c>
      <c r="E69" s="42">
        <f t="shared" si="7"/>
        <v>1.2499999999999956E-2</v>
      </c>
      <c r="F69" s="42">
        <v>0.84374999999999933</v>
      </c>
      <c r="G69" s="42">
        <f t="shared" ref="G69" si="15">F69+$H$3</f>
        <v>0.88541666666666596</v>
      </c>
      <c r="H69" s="16">
        <f t="shared" si="10"/>
        <v>3.3333333333333104E-2</v>
      </c>
      <c r="I69" s="16">
        <f t="shared" si="11"/>
        <v>3.3333333333333104E-2</v>
      </c>
      <c r="J69" s="15">
        <v>0.84374999999999933</v>
      </c>
      <c r="K69" s="15">
        <v>0.88541666666666596</v>
      </c>
      <c r="L69" s="15">
        <v>0.84374999999999933</v>
      </c>
      <c r="M69" s="45">
        <v>0.88541666666666596</v>
      </c>
      <c r="N69" s="16">
        <f t="shared" ref="N69:O69" si="16">J69-B69</f>
        <v>0</v>
      </c>
      <c r="O69" s="16">
        <f t="shared" si="16"/>
        <v>0</v>
      </c>
      <c r="P69" s="16">
        <f t="shared" ref="P69:Q69" si="17">L69-F69</f>
        <v>0</v>
      </c>
      <c r="Q69" s="16">
        <f t="shared" si="17"/>
        <v>0</v>
      </c>
      <c r="R69" s="39">
        <f t="shared" ref="R69" si="18">K69-J69</f>
        <v>4.166666666666663E-2</v>
      </c>
      <c r="S69" s="39">
        <f t="shared" ref="S69" si="19">M69-L69</f>
        <v>4.166666666666663E-2</v>
      </c>
    </row>
    <row r="70" spans="1:19" s="19" customFormat="1" ht="14.25">
      <c r="A70" s="35"/>
      <c r="B70" s="36"/>
      <c r="C70" s="36"/>
      <c r="D70" s="36"/>
      <c r="E70" s="36"/>
      <c r="F70" s="36"/>
      <c r="G70" s="36"/>
      <c r="H70" s="16"/>
      <c r="I70" s="16"/>
      <c r="J70" s="36"/>
      <c r="K70" s="36"/>
      <c r="L70" s="36"/>
      <c r="M70" s="36"/>
      <c r="N70" s="16"/>
      <c r="O70" s="16"/>
      <c r="P70" s="16"/>
      <c r="Q70" s="16"/>
    </row>
    <row r="71" spans="1:19" ht="16.5" customHeight="1">
      <c r="A71" s="17"/>
      <c r="B71" s="20" t="s">
        <v>2</v>
      </c>
      <c r="C71" s="21">
        <f>A69*2</f>
        <v>130</v>
      </c>
      <c r="D71" s="22"/>
      <c r="E71" s="23"/>
      <c r="F71" s="24" t="s">
        <v>3</v>
      </c>
      <c r="G71" s="25"/>
      <c r="H71" s="16">
        <f>MIN($H$4:$H$69)</f>
        <v>6.2500000000001443E-3</v>
      </c>
      <c r="I71" s="16">
        <f>MIN($I$5:$I$69)</f>
        <v>8.3333333333331927E-3</v>
      </c>
      <c r="J71" s="17"/>
      <c r="K71" s="17"/>
    </row>
    <row r="72" spans="1:19" ht="17.25" customHeight="1">
      <c r="A72" s="17"/>
      <c r="B72" s="28" t="s">
        <v>4</v>
      </c>
      <c r="C72" s="21" t="str">
        <f>S1</f>
        <v>50-60</v>
      </c>
      <c r="D72" s="17"/>
      <c r="E72" s="25"/>
      <c r="F72" s="28" t="s">
        <v>5</v>
      </c>
      <c r="G72" s="26"/>
      <c r="H72" s="17"/>
      <c r="I72" s="16"/>
      <c r="J72" s="17"/>
      <c r="K72" s="17"/>
    </row>
    <row r="73" spans="1:19" ht="17.25" customHeight="1">
      <c r="A73" s="17"/>
      <c r="B73" s="28" t="s">
        <v>6</v>
      </c>
      <c r="C73" s="21"/>
      <c r="D73" s="17"/>
      <c r="E73" s="30"/>
      <c r="F73" s="28"/>
      <c r="G73" s="26"/>
      <c r="H73" s="17">
        <f>(60/12+1)*2</f>
        <v>12</v>
      </c>
      <c r="I73" s="16"/>
      <c r="J73" s="17"/>
      <c r="K73" s="17"/>
    </row>
    <row r="74" spans="1:19" ht="17.25" customHeight="1">
      <c r="A74" s="17"/>
      <c r="B74" s="28" t="s">
        <v>7</v>
      </c>
      <c r="C74" s="21">
        <f>HOUR(MIN($D$6:$E$69))*60+MINUTE(MIN($D$6:$E$69))</f>
        <v>12</v>
      </c>
      <c r="D74" s="17"/>
      <c r="E74" s="31"/>
      <c r="F74" s="28" t="s">
        <v>5</v>
      </c>
      <c r="G74" s="26"/>
      <c r="H74" s="17"/>
      <c r="I74" s="16"/>
      <c r="J74" s="17"/>
      <c r="K74" s="17"/>
    </row>
    <row r="75" spans="1:19" ht="17.25" customHeight="1">
      <c r="A75" s="17"/>
      <c r="B75" s="28" t="s">
        <v>8</v>
      </c>
      <c r="C75" s="21">
        <f>HOUR(MAX($D$6:$E$69))*60+MINUTE(MAX($D$6:$E$69))</f>
        <v>18</v>
      </c>
      <c r="D75" s="17"/>
      <c r="E75" s="26"/>
      <c r="F75" s="28" t="s">
        <v>5</v>
      </c>
      <c r="G75" s="26"/>
      <c r="H75" s="17"/>
      <c r="I75" s="16"/>
      <c r="J75" s="17"/>
      <c r="K75" s="17"/>
    </row>
    <row r="76" spans="1:19">
      <c r="A76" s="17"/>
      <c r="B76" s="17"/>
      <c r="C76" s="17"/>
      <c r="D76" s="17"/>
      <c r="E76" s="32"/>
      <c r="F76" s="17"/>
      <c r="G76" s="26"/>
      <c r="H76" s="17"/>
      <c r="I76" s="17"/>
      <c r="J76" s="17"/>
      <c r="K76" s="17"/>
    </row>
    <row r="77" spans="1:19" hidden="1">
      <c r="A77" s="33" t="s">
        <v>9</v>
      </c>
      <c r="B77" s="33"/>
      <c r="C77" s="33"/>
      <c r="D77" s="33"/>
      <c r="E77" s="33"/>
      <c r="F77" s="17"/>
      <c r="G77" s="26"/>
      <c r="H77" s="17"/>
      <c r="I77" s="17"/>
      <c r="J77" s="17"/>
      <c r="K77" s="17"/>
    </row>
    <row r="78" spans="1:19" hidden="1">
      <c r="A78" s="34" t="s">
        <v>10</v>
      </c>
      <c r="B78" s="34"/>
      <c r="C78" s="34"/>
      <c r="D78" s="34"/>
      <c r="E78" s="34"/>
    </row>
  </sheetData>
  <autoFilter ref="B4:S4" xr:uid="{00000000-0009-0000-0000-000004000000}"/>
  <mergeCells count="3">
    <mergeCell ref="A1:G1"/>
    <mergeCell ref="A2:G2"/>
    <mergeCell ref="A3:A4"/>
  </mergeCells>
  <conditionalFormatting sqref="H2:H4 H6:I69">
    <cfRule type="cellIs" dxfId="3" priority="1" operator="lessThan">
      <formula>0.00347222222222222</formula>
    </cfRule>
  </conditionalFormatting>
  <pageMargins left="0.7" right="0.7" top="0.59" bottom="0.75" header="0.3" footer="0.3"/>
  <pageSetup paperSize="9" firstPageNumber="3" orientation="portrait" r:id="rId1"/>
  <headerFooter differentFirst="1" alignWithMargins="0">
    <oddHeader>&amp;C&amp;P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A57D-BE91-49E2-9173-DE0817D56D6A}">
  <dimension ref="A1:W98"/>
  <sheetViews>
    <sheetView zoomScale="115" zoomScaleNormal="115" workbookViewId="0">
      <selection activeCell="AA6" sqref="AA6"/>
    </sheetView>
  </sheetViews>
  <sheetFormatPr defaultColWidth="10.28515625" defaultRowHeight="15.75"/>
  <cols>
    <col min="1" max="1" width="8.140625" style="27" customWidth="1"/>
    <col min="2" max="2" width="20" style="27" customWidth="1"/>
    <col min="3" max="3" width="18.28515625" style="27" customWidth="1"/>
    <col min="4" max="5" width="7.42578125" style="27" hidden="1" customWidth="1"/>
    <col min="6" max="6" width="19" style="27" customWidth="1"/>
    <col min="7" max="7" width="19.85546875" style="27" customWidth="1"/>
    <col min="8" max="9" width="6" style="27" hidden="1" customWidth="1"/>
    <col min="10" max="17" width="5.7109375" style="27" hidden="1" customWidth="1"/>
    <col min="18" max="19" width="6.5703125" style="27" hidden="1" customWidth="1"/>
    <col min="20" max="23" width="10.28515625" style="27" hidden="1" customWidth="1"/>
    <col min="24" max="25" width="10.28515625" style="27" customWidth="1"/>
    <col min="26" max="16384" width="10.28515625" style="27"/>
  </cols>
  <sheetData>
    <row r="1" spans="1:19" s="2" customFormat="1" ht="69.75" customHeight="1">
      <c r="A1" s="49" t="s">
        <v>25</v>
      </c>
      <c r="B1" s="49"/>
      <c r="C1" s="49"/>
      <c r="D1" s="49"/>
      <c r="E1" s="49"/>
      <c r="F1" s="49"/>
      <c r="G1" s="49"/>
      <c r="H1" s="16">
        <f>MIN($H$4:$H$89)</f>
        <v>9.7222222222219656E-3</v>
      </c>
      <c r="I1" s="16">
        <f>MIN($I$5:$I$89)</f>
        <v>9.7222222222219656E-3</v>
      </c>
      <c r="J1" s="1"/>
      <c r="K1" s="1"/>
      <c r="S1" s="2" t="str">
        <f>_xlfn.TEXTJOIN("-",TRUE,R3:S3)</f>
        <v>50-70</v>
      </c>
    </row>
    <row r="2" spans="1:19" s="2" customFormat="1" ht="42.75" customHeight="1">
      <c r="A2" s="50" t="s">
        <v>27</v>
      </c>
      <c r="B2" s="50"/>
      <c r="C2" s="50"/>
      <c r="D2" s="50"/>
      <c r="E2" s="50"/>
      <c r="F2" s="50"/>
      <c r="G2" s="50"/>
      <c r="H2" s="16">
        <v>3.4722222222222224E-2</v>
      </c>
      <c r="I2" s="16"/>
      <c r="J2" s="1"/>
      <c r="K2" s="1"/>
      <c r="R2" s="7"/>
      <c r="S2" s="7"/>
    </row>
    <row r="3" spans="1:19" s="7" customFormat="1" ht="17.25" customHeight="1">
      <c r="A3" s="46" t="s">
        <v>0</v>
      </c>
      <c r="B3" s="43" t="s">
        <v>12</v>
      </c>
      <c r="C3" s="44"/>
      <c r="D3" s="5"/>
      <c r="E3" s="5"/>
      <c r="F3" s="43" t="s">
        <v>13</v>
      </c>
      <c r="G3" s="44"/>
      <c r="H3" s="16">
        <v>4.1666666666666664E-2</v>
      </c>
      <c r="I3" s="6">
        <f>COUNTBLANK($H$5:$I$44)</f>
        <v>16</v>
      </c>
      <c r="J3" s="40"/>
      <c r="K3" s="6"/>
      <c r="R3" s="7">
        <f>HOUR(MIN($R$5:$S$89))*60+MINUTE(MIN($R$5:$S$89))</f>
        <v>50</v>
      </c>
      <c r="S3" s="7">
        <f>HOUR(MAX($R$5:$S$89))*60+MINUTE(MAX($R$5:$S$89))</f>
        <v>70</v>
      </c>
    </row>
    <row r="4" spans="1:19" s="13" customFormat="1" ht="42" customHeight="1">
      <c r="A4" s="47"/>
      <c r="B4" s="8" t="s">
        <v>15</v>
      </c>
      <c r="C4" s="9" t="s">
        <v>11</v>
      </c>
      <c r="D4" s="10" t="s">
        <v>1</v>
      </c>
      <c r="E4" s="10" t="s">
        <v>1</v>
      </c>
      <c r="F4" s="9" t="s">
        <v>16</v>
      </c>
      <c r="G4" s="11" t="s">
        <v>17</v>
      </c>
      <c r="H4" s="16">
        <v>4.8611111111111112E-2</v>
      </c>
      <c r="I4" s="16"/>
      <c r="J4" s="12"/>
      <c r="K4" s="12"/>
    </row>
    <row r="5" spans="1:19" s="19" customFormat="1" ht="15.95" customHeight="1">
      <c r="A5" s="41">
        <f>MAX($A$4:A4)+1</f>
        <v>1</v>
      </c>
      <c r="B5" s="42">
        <v>0.20833333333333334</v>
      </c>
      <c r="C5" s="42">
        <f t="shared" ref="C5:C10" si="0">B5+$H$2</f>
        <v>0.24305555555555558</v>
      </c>
      <c r="D5" s="42"/>
      <c r="E5" s="42"/>
      <c r="F5" s="42">
        <v>0.20833333333333334</v>
      </c>
      <c r="G5" s="42">
        <f t="shared" ref="G5:G10" si="1">F5+$H$2</f>
        <v>0.24305555555555558</v>
      </c>
      <c r="J5" s="15">
        <v>0.20833333333333334</v>
      </c>
      <c r="K5" s="15">
        <v>0.24305555555555558</v>
      </c>
      <c r="L5" s="15">
        <v>0.20833333333333334</v>
      </c>
      <c r="M5" s="45">
        <v>0.24305555555555558</v>
      </c>
      <c r="N5" s="16">
        <f t="shared" ref="N5:O24" si="2">J5-B5</f>
        <v>0</v>
      </c>
      <c r="O5" s="16">
        <f t="shared" si="2"/>
        <v>0</v>
      </c>
      <c r="P5" s="16">
        <f t="shared" ref="P5:Q24" si="3">L5-F5</f>
        <v>0</v>
      </c>
      <c r="Q5" s="16">
        <f t="shared" si="3"/>
        <v>0</v>
      </c>
      <c r="R5" s="39">
        <f>K5-J5</f>
        <v>3.4722222222222238E-2</v>
      </c>
      <c r="S5" s="39">
        <f>M5-L5</f>
        <v>3.4722222222222238E-2</v>
      </c>
    </row>
    <row r="6" spans="1:19" s="19" customFormat="1" ht="15.95" customHeight="1">
      <c r="A6" s="41">
        <f>MAX($A$4:A5)+1</f>
        <v>2</v>
      </c>
      <c r="B6" s="42">
        <v>0.21666666666666667</v>
      </c>
      <c r="C6" s="42">
        <f t="shared" si="0"/>
        <v>0.25138888888888888</v>
      </c>
      <c r="D6" s="42">
        <f>B6-B5</f>
        <v>8.3333333333333315E-3</v>
      </c>
      <c r="E6" s="42">
        <f>F6-F5</f>
        <v>8.3333333333333315E-3</v>
      </c>
      <c r="F6" s="42">
        <v>0.21666666666666667</v>
      </c>
      <c r="G6" s="42">
        <f t="shared" si="1"/>
        <v>0.25138888888888888</v>
      </c>
      <c r="H6" s="38"/>
      <c r="I6" s="17"/>
      <c r="J6" s="15">
        <v>0.21666666666666667</v>
      </c>
      <c r="K6" s="15">
        <v>0.25138888888888888</v>
      </c>
      <c r="L6" s="15">
        <v>0.21666666666666667</v>
      </c>
      <c r="M6" s="45">
        <v>0.25138888888888888</v>
      </c>
      <c r="N6" s="16">
        <f t="shared" si="2"/>
        <v>0</v>
      </c>
      <c r="O6" s="16">
        <f t="shared" si="2"/>
        <v>0</v>
      </c>
      <c r="P6" s="16">
        <f t="shared" si="3"/>
        <v>0</v>
      </c>
      <c r="Q6" s="16">
        <f t="shared" si="3"/>
        <v>0</v>
      </c>
      <c r="R6" s="39">
        <f t="shared" ref="R6:R54" si="4">K6-J6</f>
        <v>3.472222222222221E-2</v>
      </c>
      <c r="S6" s="39">
        <f t="shared" ref="S6:S54" si="5">M6-L6</f>
        <v>3.472222222222221E-2</v>
      </c>
    </row>
    <row r="7" spans="1:19" s="19" customFormat="1" ht="15.95" customHeight="1">
      <c r="A7" s="41">
        <f>MAX($A$4:A6)+1</f>
        <v>3</v>
      </c>
      <c r="B7" s="42">
        <v>0.22500000000000001</v>
      </c>
      <c r="C7" s="42">
        <f t="shared" si="0"/>
        <v>0.25972222222222224</v>
      </c>
      <c r="D7" s="42">
        <f t="shared" ref="D7:D70" si="6">B7-B6</f>
        <v>8.3333333333333315E-3</v>
      </c>
      <c r="E7" s="42">
        <f t="shared" ref="E7:E70" si="7">F7-F6</f>
        <v>8.3333333333333315E-3</v>
      </c>
      <c r="F7" s="42">
        <v>0.22500000000000001</v>
      </c>
      <c r="G7" s="42">
        <f t="shared" si="1"/>
        <v>0.25972222222222224</v>
      </c>
      <c r="H7" s="38"/>
      <c r="I7" s="17"/>
      <c r="J7" s="15">
        <v>0.22500000000000001</v>
      </c>
      <c r="K7" s="15">
        <v>0.25972222222222224</v>
      </c>
      <c r="L7" s="15">
        <v>0.22500000000000001</v>
      </c>
      <c r="M7" s="45">
        <v>0.25972222222222224</v>
      </c>
      <c r="N7" s="16">
        <f t="shared" si="2"/>
        <v>0</v>
      </c>
      <c r="O7" s="16">
        <f t="shared" si="2"/>
        <v>0</v>
      </c>
      <c r="P7" s="16">
        <f t="shared" si="3"/>
        <v>0</v>
      </c>
      <c r="Q7" s="16">
        <f t="shared" si="3"/>
        <v>0</v>
      </c>
      <c r="R7" s="39">
        <f t="shared" si="4"/>
        <v>3.4722222222222238E-2</v>
      </c>
      <c r="S7" s="39">
        <f t="shared" si="5"/>
        <v>3.4722222222222238E-2</v>
      </c>
    </row>
    <row r="8" spans="1:19" s="19" customFormat="1" ht="15.95" customHeight="1">
      <c r="A8" s="41">
        <f>MAX($A$4:A7)+1</f>
        <v>4</v>
      </c>
      <c r="B8" s="42">
        <v>0.23333333333333334</v>
      </c>
      <c r="C8" s="42">
        <f t="shared" si="0"/>
        <v>0.26805555555555555</v>
      </c>
      <c r="D8" s="42">
        <f t="shared" si="6"/>
        <v>8.3333333333333315E-3</v>
      </c>
      <c r="E8" s="42">
        <f t="shared" si="7"/>
        <v>8.3333333333333315E-3</v>
      </c>
      <c r="F8" s="42">
        <v>0.23333333333333334</v>
      </c>
      <c r="G8" s="42">
        <f t="shared" si="1"/>
        <v>0.26805555555555555</v>
      </c>
      <c r="H8" s="16"/>
      <c r="I8" s="17"/>
      <c r="J8" s="15">
        <v>0.23333333333333334</v>
      </c>
      <c r="K8" s="15">
        <v>0.26805555555555555</v>
      </c>
      <c r="L8" s="15">
        <v>0.23333333333333334</v>
      </c>
      <c r="M8" s="45">
        <v>0.26805555555555555</v>
      </c>
      <c r="N8" s="16">
        <f t="shared" si="2"/>
        <v>0</v>
      </c>
      <c r="O8" s="16">
        <f t="shared" si="2"/>
        <v>0</v>
      </c>
      <c r="P8" s="16">
        <f t="shared" si="3"/>
        <v>0</v>
      </c>
      <c r="Q8" s="16">
        <f t="shared" si="3"/>
        <v>0</v>
      </c>
      <c r="R8" s="39">
        <f t="shared" si="4"/>
        <v>3.472222222222221E-2</v>
      </c>
      <c r="S8" s="39">
        <f t="shared" si="5"/>
        <v>3.472222222222221E-2</v>
      </c>
    </row>
    <row r="9" spans="1:19" s="19" customFormat="1" ht="15.95" customHeight="1">
      <c r="A9" s="41">
        <f>MAX($A$4:A8)+1</f>
        <v>5</v>
      </c>
      <c r="B9" s="42">
        <v>0.24166666666666667</v>
      </c>
      <c r="C9" s="42">
        <f t="shared" si="0"/>
        <v>0.27638888888888891</v>
      </c>
      <c r="D9" s="42">
        <f t="shared" si="6"/>
        <v>8.3333333333333315E-3</v>
      </c>
      <c r="E9" s="42">
        <f t="shared" si="7"/>
        <v>6.9444444444444475E-3</v>
      </c>
      <c r="F9" s="42">
        <v>0.24027777777777778</v>
      </c>
      <c r="G9" s="42">
        <f t="shared" si="1"/>
        <v>0.27500000000000002</v>
      </c>
      <c r="H9" s="16"/>
      <c r="I9" s="16"/>
      <c r="J9" s="15">
        <v>0.24166666666666667</v>
      </c>
      <c r="K9" s="15">
        <v>0.27638888888888891</v>
      </c>
      <c r="L9" s="15">
        <v>0.24027777777777778</v>
      </c>
      <c r="M9" s="45">
        <v>0.27500000000000002</v>
      </c>
      <c r="N9" s="16">
        <f t="shared" si="2"/>
        <v>0</v>
      </c>
      <c r="O9" s="16">
        <f t="shared" si="2"/>
        <v>0</v>
      </c>
      <c r="P9" s="16">
        <f t="shared" si="3"/>
        <v>0</v>
      </c>
      <c r="Q9" s="16">
        <f t="shared" si="3"/>
        <v>0</v>
      </c>
      <c r="R9" s="39">
        <f t="shared" si="4"/>
        <v>3.4722222222222238E-2</v>
      </c>
      <c r="S9" s="39">
        <f t="shared" si="5"/>
        <v>3.4722222222222238E-2</v>
      </c>
    </row>
    <row r="10" spans="1:19" s="19" customFormat="1" ht="15.95" customHeight="1">
      <c r="A10" s="41">
        <f>MAX($A$4:A9)+1</f>
        <v>6</v>
      </c>
      <c r="B10" s="42">
        <v>0.25</v>
      </c>
      <c r="C10" s="42">
        <f t="shared" si="0"/>
        <v>0.28472222222222221</v>
      </c>
      <c r="D10" s="42">
        <f t="shared" si="6"/>
        <v>8.3333333333333315E-3</v>
      </c>
      <c r="E10" s="42">
        <f t="shared" si="7"/>
        <v>6.9444444444444475E-3</v>
      </c>
      <c r="F10" s="42">
        <v>0.24722222222222223</v>
      </c>
      <c r="G10" s="42">
        <f t="shared" si="1"/>
        <v>0.28194444444444444</v>
      </c>
      <c r="H10" s="16"/>
      <c r="I10" s="16"/>
      <c r="J10" s="15">
        <v>0.25</v>
      </c>
      <c r="K10" s="15">
        <v>0.28472222222222221</v>
      </c>
      <c r="L10" s="15">
        <v>0.24722222222222223</v>
      </c>
      <c r="M10" s="45">
        <v>0.28194444444444444</v>
      </c>
      <c r="N10" s="16">
        <f t="shared" si="2"/>
        <v>0</v>
      </c>
      <c r="O10" s="16">
        <f t="shared" si="2"/>
        <v>0</v>
      </c>
      <c r="P10" s="16">
        <f t="shared" si="3"/>
        <v>0</v>
      </c>
      <c r="Q10" s="16">
        <f t="shared" si="3"/>
        <v>0</v>
      </c>
      <c r="R10" s="39">
        <f t="shared" si="4"/>
        <v>3.472222222222221E-2</v>
      </c>
      <c r="S10" s="39">
        <f t="shared" si="5"/>
        <v>3.472222222222221E-2</v>
      </c>
    </row>
    <row r="11" spans="1:19" s="19" customFormat="1" ht="15.95" customHeight="1">
      <c r="A11" s="41">
        <f>MAX($A$4:A10)+1</f>
        <v>7</v>
      </c>
      <c r="B11" s="42">
        <v>0.25694444444444442</v>
      </c>
      <c r="C11" s="42">
        <f t="shared" ref="C11:C42" si="8">B11+$H$3</f>
        <v>0.2986111111111111</v>
      </c>
      <c r="D11" s="42">
        <f t="shared" si="6"/>
        <v>6.9444444444444198E-3</v>
      </c>
      <c r="E11" s="42">
        <f t="shared" si="7"/>
        <v>6.9444444444444198E-3</v>
      </c>
      <c r="F11" s="42">
        <v>0.25416666666666665</v>
      </c>
      <c r="G11" s="42">
        <f t="shared" ref="G11:G42" si="9">F11+$H$3</f>
        <v>0.29583333333333334</v>
      </c>
      <c r="H11" s="16"/>
      <c r="I11" s="16"/>
      <c r="J11" s="15">
        <v>0.25694444444444442</v>
      </c>
      <c r="K11" s="15">
        <v>0.2986111111111111</v>
      </c>
      <c r="L11" s="15">
        <v>0.25416666666666665</v>
      </c>
      <c r="M11" s="45">
        <v>0.29583333333333334</v>
      </c>
      <c r="N11" s="16">
        <f t="shared" si="2"/>
        <v>0</v>
      </c>
      <c r="O11" s="16">
        <f t="shared" si="2"/>
        <v>0</v>
      </c>
      <c r="P11" s="16">
        <f t="shared" si="3"/>
        <v>0</v>
      </c>
      <c r="Q11" s="16">
        <f t="shared" si="3"/>
        <v>0</v>
      </c>
      <c r="R11" s="39">
        <f t="shared" si="4"/>
        <v>4.1666666666666685E-2</v>
      </c>
      <c r="S11" s="39">
        <f t="shared" si="5"/>
        <v>4.1666666666666685E-2</v>
      </c>
    </row>
    <row r="12" spans="1:19" s="19" customFormat="1" ht="15.95" customHeight="1">
      <c r="A12" s="41">
        <f>MAX($A$4:A11)+1</f>
        <v>8</v>
      </c>
      <c r="B12" s="42">
        <v>0.26388888888888884</v>
      </c>
      <c r="C12" s="42">
        <f t="shared" si="8"/>
        <v>0.30555555555555552</v>
      </c>
      <c r="D12" s="42">
        <f t="shared" si="6"/>
        <v>6.9444444444444198E-3</v>
      </c>
      <c r="E12" s="42">
        <f t="shared" si="7"/>
        <v>6.9444444444444198E-3</v>
      </c>
      <c r="F12" s="42">
        <v>0.26111111111111107</v>
      </c>
      <c r="G12" s="42">
        <f t="shared" si="9"/>
        <v>0.30277777777777776</v>
      </c>
      <c r="H12" s="16"/>
      <c r="I12" s="16"/>
      <c r="J12" s="15">
        <v>0.26388888888888884</v>
      </c>
      <c r="K12" s="15">
        <v>0.30555555555555552</v>
      </c>
      <c r="L12" s="15">
        <v>0.26111111111111107</v>
      </c>
      <c r="M12" s="45">
        <v>0.30277777777777776</v>
      </c>
      <c r="N12" s="16">
        <f t="shared" si="2"/>
        <v>0</v>
      </c>
      <c r="O12" s="16">
        <f t="shared" si="2"/>
        <v>0</v>
      </c>
      <c r="P12" s="16">
        <f t="shared" si="3"/>
        <v>0</v>
      </c>
      <c r="Q12" s="16">
        <f t="shared" si="3"/>
        <v>0</v>
      </c>
      <c r="R12" s="39">
        <f t="shared" si="4"/>
        <v>4.1666666666666685E-2</v>
      </c>
      <c r="S12" s="39">
        <f t="shared" si="5"/>
        <v>4.1666666666666685E-2</v>
      </c>
    </row>
    <row r="13" spans="1:19" s="19" customFormat="1" ht="15.95" customHeight="1">
      <c r="A13" s="41">
        <f>MAX($A$4:A12)+1</f>
        <v>9</v>
      </c>
      <c r="B13" s="42">
        <v>0.27083333333333326</v>
      </c>
      <c r="C13" s="42">
        <f t="shared" si="8"/>
        <v>0.31249999999999994</v>
      </c>
      <c r="D13" s="42">
        <f t="shared" si="6"/>
        <v>6.9444444444444198E-3</v>
      </c>
      <c r="E13" s="42">
        <f t="shared" si="7"/>
        <v>6.9444444444444198E-3</v>
      </c>
      <c r="F13" s="42">
        <v>0.26805555555555549</v>
      </c>
      <c r="G13" s="42">
        <f t="shared" si="9"/>
        <v>0.30972222222222218</v>
      </c>
      <c r="H13" s="16">
        <f>B13-G5</f>
        <v>2.7777777777777679E-2</v>
      </c>
      <c r="I13" s="16">
        <f>F13-C5</f>
        <v>2.4999999999999911E-2</v>
      </c>
      <c r="J13" s="15">
        <v>0.27083333333333326</v>
      </c>
      <c r="K13" s="15">
        <v>0.31249999999999994</v>
      </c>
      <c r="L13" s="15">
        <v>0.26805555555555549</v>
      </c>
      <c r="M13" s="45">
        <v>0.30972222222222218</v>
      </c>
      <c r="N13" s="16">
        <f t="shared" si="2"/>
        <v>0</v>
      </c>
      <c r="O13" s="16">
        <f t="shared" si="2"/>
        <v>0</v>
      </c>
      <c r="P13" s="16">
        <f t="shared" si="3"/>
        <v>0</v>
      </c>
      <c r="Q13" s="16">
        <f t="shared" si="3"/>
        <v>0</v>
      </c>
      <c r="R13" s="39">
        <f t="shared" si="4"/>
        <v>4.1666666666666685E-2</v>
      </c>
      <c r="S13" s="39">
        <f t="shared" si="5"/>
        <v>4.1666666666666685E-2</v>
      </c>
    </row>
    <row r="14" spans="1:19" s="19" customFormat="1" ht="15.95" customHeight="1">
      <c r="A14" s="41">
        <f>MAX($A$4:A13)+1</f>
        <v>10</v>
      </c>
      <c r="B14" s="42">
        <v>0.27777777777777768</v>
      </c>
      <c r="C14" s="42">
        <f t="shared" si="8"/>
        <v>0.31944444444444436</v>
      </c>
      <c r="D14" s="42">
        <f t="shared" si="6"/>
        <v>6.9444444444444198E-3</v>
      </c>
      <c r="E14" s="42">
        <f t="shared" si="7"/>
        <v>6.9444444444444198E-3</v>
      </c>
      <c r="F14" s="42">
        <v>0.27499999999999991</v>
      </c>
      <c r="G14" s="42">
        <f t="shared" si="9"/>
        <v>0.3166666666666666</v>
      </c>
      <c r="H14" s="16">
        <f t="shared" ref="H14:H77" si="10">B14-G6</f>
        <v>2.6388888888888795E-2</v>
      </c>
      <c r="I14" s="16">
        <f t="shared" ref="I14:I77" si="11">F14-C6</f>
        <v>2.3611111111111027E-2</v>
      </c>
      <c r="J14" s="15">
        <v>0.27777777777777768</v>
      </c>
      <c r="K14" s="15">
        <v>0.31944444444444436</v>
      </c>
      <c r="L14" s="15">
        <v>0.27499999999999991</v>
      </c>
      <c r="M14" s="45">
        <v>0.3166666666666666</v>
      </c>
      <c r="N14" s="16">
        <f t="shared" si="2"/>
        <v>0</v>
      </c>
      <c r="O14" s="16">
        <f t="shared" si="2"/>
        <v>0</v>
      </c>
      <c r="P14" s="16">
        <f t="shared" si="3"/>
        <v>0</v>
      </c>
      <c r="Q14" s="16">
        <f t="shared" si="3"/>
        <v>0</v>
      </c>
      <c r="R14" s="39">
        <f t="shared" si="4"/>
        <v>4.1666666666666685E-2</v>
      </c>
      <c r="S14" s="39">
        <f t="shared" si="5"/>
        <v>4.1666666666666685E-2</v>
      </c>
    </row>
    <row r="15" spans="1:19" s="19" customFormat="1" ht="15.95" customHeight="1">
      <c r="A15" s="41">
        <f>MAX($A$4:A14)+1</f>
        <v>11</v>
      </c>
      <c r="B15" s="42">
        <v>0.2847222222222221</v>
      </c>
      <c r="C15" s="42">
        <f t="shared" si="8"/>
        <v>0.32638888888888878</v>
      </c>
      <c r="D15" s="42">
        <f t="shared" si="6"/>
        <v>6.9444444444444198E-3</v>
      </c>
      <c r="E15" s="42">
        <f t="shared" si="7"/>
        <v>6.9444444444444198E-3</v>
      </c>
      <c r="F15" s="42">
        <v>0.28194444444444433</v>
      </c>
      <c r="G15" s="42">
        <f t="shared" si="9"/>
        <v>0.32361111111111102</v>
      </c>
      <c r="H15" s="16">
        <f t="shared" si="10"/>
        <v>2.4999999999999856E-2</v>
      </c>
      <c r="I15" s="16">
        <f t="shared" si="11"/>
        <v>2.2222222222222088E-2</v>
      </c>
      <c r="J15" s="15">
        <v>0.2847222222222221</v>
      </c>
      <c r="K15" s="15">
        <v>0.32638888888888878</v>
      </c>
      <c r="L15" s="15">
        <v>0.28194444444444433</v>
      </c>
      <c r="M15" s="45">
        <v>0.32361111111111102</v>
      </c>
      <c r="N15" s="16">
        <f t="shared" si="2"/>
        <v>0</v>
      </c>
      <c r="O15" s="16">
        <f t="shared" si="2"/>
        <v>0</v>
      </c>
      <c r="P15" s="16">
        <f t="shared" si="3"/>
        <v>0</v>
      </c>
      <c r="Q15" s="16">
        <f t="shared" si="3"/>
        <v>0</v>
      </c>
      <c r="R15" s="39">
        <f t="shared" si="4"/>
        <v>4.1666666666666685E-2</v>
      </c>
      <c r="S15" s="39">
        <f t="shared" si="5"/>
        <v>4.1666666666666685E-2</v>
      </c>
    </row>
    <row r="16" spans="1:19" s="19" customFormat="1" ht="15.95" customHeight="1">
      <c r="A16" s="41">
        <f>MAX($A$4:A15)+1</f>
        <v>12</v>
      </c>
      <c r="B16" s="42">
        <v>0.29166666666666652</v>
      </c>
      <c r="C16" s="42">
        <f t="shared" si="8"/>
        <v>0.3333333333333332</v>
      </c>
      <c r="D16" s="42">
        <f t="shared" si="6"/>
        <v>6.9444444444444198E-3</v>
      </c>
      <c r="E16" s="42">
        <f t="shared" si="7"/>
        <v>6.9444444444444198E-3</v>
      </c>
      <c r="F16" s="42">
        <v>0.28888888888888875</v>
      </c>
      <c r="G16" s="42">
        <f t="shared" si="9"/>
        <v>0.33055555555555544</v>
      </c>
      <c r="H16" s="16">
        <f t="shared" si="10"/>
        <v>2.3611111111110972E-2</v>
      </c>
      <c r="I16" s="16">
        <f t="shared" si="11"/>
        <v>2.0833333333333204E-2</v>
      </c>
      <c r="J16" s="15">
        <v>0.29166666666666652</v>
      </c>
      <c r="K16" s="15">
        <v>0.3333333333333332</v>
      </c>
      <c r="L16" s="15">
        <v>0.28888888888888875</v>
      </c>
      <c r="M16" s="45">
        <v>0.33055555555555544</v>
      </c>
      <c r="N16" s="16">
        <f t="shared" si="2"/>
        <v>0</v>
      </c>
      <c r="O16" s="16">
        <f t="shared" si="2"/>
        <v>0</v>
      </c>
      <c r="P16" s="16">
        <f t="shared" si="3"/>
        <v>0</v>
      </c>
      <c r="Q16" s="16">
        <f t="shared" si="3"/>
        <v>0</v>
      </c>
      <c r="R16" s="39">
        <f t="shared" si="4"/>
        <v>4.1666666666666685E-2</v>
      </c>
      <c r="S16" s="39">
        <f t="shared" si="5"/>
        <v>4.1666666666666685E-2</v>
      </c>
    </row>
    <row r="17" spans="1:19" s="19" customFormat="1" ht="15.95" customHeight="1">
      <c r="A17" s="41">
        <f>MAX($A$4:A16)+1</f>
        <v>13</v>
      </c>
      <c r="B17" s="42">
        <v>0.29861111111111094</v>
      </c>
      <c r="C17" s="42">
        <f t="shared" si="8"/>
        <v>0.34027777777777762</v>
      </c>
      <c r="D17" s="42">
        <f t="shared" si="6"/>
        <v>6.9444444444444198E-3</v>
      </c>
      <c r="E17" s="42">
        <f t="shared" si="7"/>
        <v>6.9444444444444198E-3</v>
      </c>
      <c r="F17" s="42">
        <v>0.29583333333333317</v>
      </c>
      <c r="G17" s="42">
        <f t="shared" si="9"/>
        <v>0.33749999999999986</v>
      </c>
      <c r="H17" s="16">
        <f t="shared" si="10"/>
        <v>2.3611111111110916E-2</v>
      </c>
      <c r="I17" s="16">
        <f t="shared" si="11"/>
        <v>1.9444444444444264E-2</v>
      </c>
      <c r="J17" s="15">
        <v>0.29861111111111094</v>
      </c>
      <c r="K17" s="15">
        <v>0.34027777777777762</v>
      </c>
      <c r="L17" s="15">
        <v>0.29583333333333317</v>
      </c>
      <c r="M17" s="45">
        <v>0.33749999999999986</v>
      </c>
      <c r="N17" s="16">
        <f t="shared" si="2"/>
        <v>0</v>
      </c>
      <c r="O17" s="16">
        <f t="shared" si="2"/>
        <v>0</v>
      </c>
      <c r="P17" s="16">
        <f t="shared" si="3"/>
        <v>0</v>
      </c>
      <c r="Q17" s="16">
        <f t="shared" si="3"/>
        <v>0</v>
      </c>
      <c r="R17" s="39">
        <f t="shared" si="4"/>
        <v>4.1666666666666685E-2</v>
      </c>
      <c r="S17" s="39">
        <f t="shared" si="5"/>
        <v>4.1666666666666685E-2</v>
      </c>
    </row>
    <row r="18" spans="1:19" s="19" customFormat="1" ht="15.95" customHeight="1">
      <c r="A18" s="41">
        <f>MAX($A$4:A17)+1</f>
        <v>14</v>
      </c>
      <c r="B18" s="42">
        <v>0.30555555555555536</v>
      </c>
      <c r="C18" s="42">
        <f t="shared" si="8"/>
        <v>0.34722222222222204</v>
      </c>
      <c r="D18" s="42">
        <f t="shared" si="6"/>
        <v>6.9444444444444198E-3</v>
      </c>
      <c r="E18" s="42">
        <f t="shared" si="7"/>
        <v>6.9444444444444198E-3</v>
      </c>
      <c r="F18" s="42">
        <v>0.30277777777777759</v>
      </c>
      <c r="G18" s="42">
        <f t="shared" si="9"/>
        <v>0.34444444444444428</v>
      </c>
      <c r="H18" s="16">
        <f t="shared" si="10"/>
        <v>2.3611111111110916E-2</v>
      </c>
      <c r="I18" s="16">
        <f t="shared" si="11"/>
        <v>1.805555555555538E-2</v>
      </c>
      <c r="J18" s="15">
        <v>0.30555555555555536</v>
      </c>
      <c r="K18" s="15">
        <v>0.34722222222222204</v>
      </c>
      <c r="L18" s="15">
        <v>0.30277777777777759</v>
      </c>
      <c r="M18" s="45">
        <v>0.34444444444444428</v>
      </c>
      <c r="N18" s="16">
        <f t="shared" si="2"/>
        <v>0</v>
      </c>
      <c r="O18" s="16">
        <f t="shared" si="2"/>
        <v>0</v>
      </c>
      <c r="P18" s="16">
        <f t="shared" si="3"/>
        <v>0</v>
      </c>
      <c r="Q18" s="16">
        <f t="shared" si="3"/>
        <v>0</v>
      </c>
      <c r="R18" s="39">
        <f t="shared" si="4"/>
        <v>4.1666666666666685E-2</v>
      </c>
      <c r="S18" s="39">
        <f t="shared" si="5"/>
        <v>4.1666666666666685E-2</v>
      </c>
    </row>
    <row r="19" spans="1:19" s="19" customFormat="1" ht="15.95" customHeight="1">
      <c r="A19" s="41">
        <f>MAX($A$4:A18)+1</f>
        <v>15</v>
      </c>
      <c r="B19" s="42">
        <v>0.31249999999999978</v>
      </c>
      <c r="C19" s="42">
        <f t="shared" si="8"/>
        <v>0.35416666666666646</v>
      </c>
      <c r="D19" s="42">
        <f t="shared" si="6"/>
        <v>6.9444444444444198E-3</v>
      </c>
      <c r="E19" s="42">
        <f t="shared" si="7"/>
        <v>6.9444444444444198E-3</v>
      </c>
      <c r="F19" s="42">
        <v>0.30972222222222201</v>
      </c>
      <c r="G19" s="42">
        <f t="shared" si="9"/>
        <v>0.3513888888888887</v>
      </c>
      <c r="H19" s="16">
        <f t="shared" si="10"/>
        <v>1.6666666666666441E-2</v>
      </c>
      <c r="I19" s="16">
        <f t="shared" si="11"/>
        <v>1.1111111111110905E-2</v>
      </c>
      <c r="J19" s="15">
        <v>0.31249999999999978</v>
      </c>
      <c r="K19" s="15">
        <v>0.35416666666666646</v>
      </c>
      <c r="L19" s="15">
        <v>0.30972222222222201</v>
      </c>
      <c r="M19" s="45">
        <v>0.3513888888888887</v>
      </c>
      <c r="N19" s="16">
        <f t="shared" si="2"/>
        <v>0</v>
      </c>
      <c r="O19" s="16">
        <f t="shared" si="2"/>
        <v>0</v>
      </c>
      <c r="P19" s="16">
        <f t="shared" si="3"/>
        <v>0</v>
      </c>
      <c r="Q19" s="16">
        <f t="shared" si="3"/>
        <v>0</v>
      </c>
      <c r="R19" s="39">
        <f t="shared" si="4"/>
        <v>4.1666666666666685E-2</v>
      </c>
      <c r="S19" s="39">
        <f t="shared" si="5"/>
        <v>4.1666666666666685E-2</v>
      </c>
    </row>
    <row r="20" spans="1:19" s="19" customFormat="1" ht="15.95" customHeight="1">
      <c r="A20" s="41">
        <f>MAX($A$4:A19)+1</f>
        <v>16</v>
      </c>
      <c r="B20" s="42">
        <v>0.3194444444444442</v>
      </c>
      <c r="C20" s="42">
        <f t="shared" si="8"/>
        <v>0.36111111111111088</v>
      </c>
      <c r="D20" s="42">
        <f t="shared" si="6"/>
        <v>6.9444444444444198E-3</v>
      </c>
      <c r="E20" s="42">
        <f t="shared" si="7"/>
        <v>6.9444444444444198E-3</v>
      </c>
      <c r="F20" s="42">
        <v>0.31666666666666643</v>
      </c>
      <c r="G20" s="42">
        <f t="shared" si="9"/>
        <v>0.35833333333333311</v>
      </c>
      <c r="H20" s="16">
        <f t="shared" si="10"/>
        <v>1.6666666666666441E-2</v>
      </c>
      <c r="I20" s="16">
        <f t="shared" si="11"/>
        <v>1.1111111111110905E-2</v>
      </c>
      <c r="J20" s="15">
        <v>0.3194444444444442</v>
      </c>
      <c r="K20" s="15">
        <v>0.36111111111111088</v>
      </c>
      <c r="L20" s="15">
        <v>0.31666666666666643</v>
      </c>
      <c r="M20" s="45">
        <v>0.35833333333333311</v>
      </c>
      <c r="N20" s="16">
        <f t="shared" si="2"/>
        <v>0</v>
      </c>
      <c r="O20" s="16">
        <f t="shared" si="2"/>
        <v>0</v>
      </c>
      <c r="P20" s="16">
        <f t="shared" si="3"/>
        <v>0</v>
      </c>
      <c r="Q20" s="16">
        <f t="shared" si="3"/>
        <v>0</v>
      </c>
      <c r="R20" s="39">
        <f t="shared" si="4"/>
        <v>4.1666666666666685E-2</v>
      </c>
      <c r="S20" s="39">
        <f t="shared" si="5"/>
        <v>4.1666666666666685E-2</v>
      </c>
    </row>
    <row r="21" spans="1:19" s="19" customFormat="1" ht="15.95" customHeight="1">
      <c r="A21" s="41">
        <f>MAX($A$4:A20)+1</f>
        <v>17</v>
      </c>
      <c r="B21" s="42">
        <v>0.32638888888888862</v>
      </c>
      <c r="C21" s="42">
        <f t="shared" si="8"/>
        <v>0.3680555555555553</v>
      </c>
      <c r="D21" s="42">
        <f t="shared" si="6"/>
        <v>6.9444444444444198E-3</v>
      </c>
      <c r="E21" s="42">
        <f t="shared" si="7"/>
        <v>6.9444444444444198E-3</v>
      </c>
      <c r="F21" s="42">
        <v>0.32361111111111085</v>
      </c>
      <c r="G21" s="42">
        <f t="shared" si="9"/>
        <v>0.36527777777777753</v>
      </c>
      <c r="H21" s="16">
        <f t="shared" si="10"/>
        <v>1.6666666666666441E-2</v>
      </c>
      <c r="I21" s="16">
        <f t="shared" si="11"/>
        <v>1.1111111111110905E-2</v>
      </c>
      <c r="J21" s="15">
        <v>0.32638888888888862</v>
      </c>
      <c r="K21" s="15">
        <v>0.3680555555555553</v>
      </c>
      <c r="L21" s="15">
        <v>0.32361111111111085</v>
      </c>
      <c r="M21" s="45">
        <v>0.36527777777777753</v>
      </c>
      <c r="N21" s="16">
        <f t="shared" si="2"/>
        <v>0</v>
      </c>
      <c r="O21" s="16">
        <f t="shared" si="2"/>
        <v>0</v>
      </c>
      <c r="P21" s="16">
        <f t="shared" si="3"/>
        <v>0</v>
      </c>
      <c r="Q21" s="16">
        <f t="shared" si="3"/>
        <v>0</v>
      </c>
      <c r="R21" s="39">
        <f t="shared" si="4"/>
        <v>4.1666666666666685E-2</v>
      </c>
      <c r="S21" s="39">
        <f t="shared" si="5"/>
        <v>4.1666666666666685E-2</v>
      </c>
    </row>
    <row r="22" spans="1:19" s="19" customFormat="1" ht="15.95" customHeight="1">
      <c r="A22" s="41">
        <f>MAX($A$4:A21)+1</f>
        <v>18</v>
      </c>
      <c r="B22" s="42">
        <v>0.33333333333333304</v>
      </c>
      <c r="C22" s="42">
        <f t="shared" si="8"/>
        <v>0.37499999999999972</v>
      </c>
      <c r="D22" s="42">
        <f t="shared" si="6"/>
        <v>6.9444444444444198E-3</v>
      </c>
      <c r="E22" s="42">
        <f t="shared" si="7"/>
        <v>6.9444444444444198E-3</v>
      </c>
      <c r="F22" s="42">
        <v>0.33055555555555527</v>
      </c>
      <c r="G22" s="42">
        <f t="shared" si="9"/>
        <v>0.37222222222222195</v>
      </c>
      <c r="H22" s="16">
        <f t="shared" si="10"/>
        <v>1.6666666666666441E-2</v>
      </c>
      <c r="I22" s="16">
        <f t="shared" si="11"/>
        <v>1.1111111111110905E-2</v>
      </c>
      <c r="J22" s="15">
        <v>0.33333333333333304</v>
      </c>
      <c r="K22" s="15">
        <v>0.37499999999999972</v>
      </c>
      <c r="L22" s="15">
        <v>0.33055555555555527</v>
      </c>
      <c r="M22" s="45">
        <v>0.37222222222222195</v>
      </c>
      <c r="N22" s="16">
        <f t="shared" si="2"/>
        <v>0</v>
      </c>
      <c r="O22" s="16">
        <f t="shared" si="2"/>
        <v>0</v>
      </c>
      <c r="P22" s="16">
        <f t="shared" si="3"/>
        <v>0</v>
      </c>
      <c r="Q22" s="16">
        <f t="shared" si="3"/>
        <v>0</v>
      </c>
      <c r="R22" s="39">
        <f t="shared" si="4"/>
        <v>4.1666666666666685E-2</v>
      </c>
      <c r="S22" s="39">
        <f t="shared" si="5"/>
        <v>4.1666666666666685E-2</v>
      </c>
    </row>
    <row r="23" spans="1:19" s="19" customFormat="1" ht="15.95" customHeight="1">
      <c r="A23" s="41">
        <f>MAX($A$4:A22)+1</f>
        <v>19</v>
      </c>
      <c r="B23" s="42">
        <v>0.34027777777777746</v>
      </c>
      <c r="C23" s="42">
        <f t="shared" si="8"/>
        <v>0.38194444444444414</v>
      </c>
      <c r="D23" s="42">
        <f t="shared" si="6"/>
        <v>6.9444444444444198E-3</v>
      </c>
      <c r="E23" s="42">
        <f t="shared" si="7"/>
        <v>6.9444444444444198E-3</v>
      </c>
      <c r="F23" s="42">
        <v>0.33749999999999969</v>
      </c>
      <c r="G23" s="42">
        <f t="shared" si="9"/>
        <v>0.37916666666666637</v>
      </c>
      <c r="H23" s="16">
        <f t="shared" si="10"/>
        <v>1.6666666666666441E-2</v>
      </c>
      <c r="I23" s="16">
        <f t="shared" si="11"/>
        <v>1.1111111111110905E-2</v>
      </c>
      <c r="J23" s="15">
        <v>0.34027777777777746</v>
      </c>
      <c r="K23" s="15">
        <v>0.38194444444444414</v>
      </c>
      <c r="L23" s="15">
        <v>0.33749999999999969</v>
      </c>
      <c r="M23" s="45">
        <v>0.37916666666666637</v>
      </c>
      <c r="N23" s="16">
        <f t="shared" si="2"/>
        <v>0</v>
      </c>
      <c r="O23" s="16">
        <f t="shared" si="2"/>
        <v>0</v>
      </c>
      <c r="P23" s="16">
        <f t="shared" si="3"/>
        <v>0</v>
      </c>
      <c r="Q23" s="16">
        <f t="shared" si="3"/>
        <v>0</v>
      </c>
      <c r="R23" s="39">
        <f t="shared" si="4"/>
        <v>4.1666666666666685E-2</v>
      </c>
      <c r="S23" s="39">
        <f t="shared" si="5"/>
        <v>4.1666666666666685E-2</v>
      </c>
    </row>
    <row r="24" spans="1:19" s="19" customFormat="1" ht="15.95" customHeight="1">
      <c r="A24" s="41">
        <f>MAX($A$4:A23)+1</f>
        <v>20</v>
      </c>
      <c r="B24" s="42">
        <v>0.34722222222222188</v>
      </c>
      <c r="C24" s="42">
        <f t="shared" si="8"/>
        <v>0.38888888888888856</v>
      </c>
      <c r="D24" s="42">
        <f t="shared" si="6"/>
        <v>6.9444444444444198E-3</v>
      </c>
      <c r="E24" s="42">
        <f t="shared" si="7"/>
        <v>6.9444444444444198E-3</v>
      </c>
      <c r="F24" s="42">
        <v>0.34444444444444411</v>
      </c>
      <c r="G24" s="42">
        <f t="shared" si="9"/>
        <v>0.38611111111111079</v>
      </c>
      <c r="H24" s="16">
        <f t="shared" si="10"/>
        <v>1.6666666666666441E-2</v>
      </c>
      <c r="I24" s="16">
        <f t="shared" si="11"/>
        <v>1.1111111111110905E-2</v>
      </c>
      <c r="J24" s="15">
        <v>0.34722222222222188</v>
      </c>
      <c r="K24" s="15">
        <v>0.38888888888888856</v>
      </c>
      <c r="L24" s="15">
        <v>0.34444444444444411</v>
      </c>
      <c r="M24" s="45">
        <v>0.38611111111111079</v>
      </c>
      <c r="N24" s="16">
        <f t="shared" si="2"/>
        <v>0</v>
      </c>
      <c r="O24" s="16">
        <f t="shared" si="2"/>
        <v>0</v>
      </c>
      <c r="P24" s="16">
        <f t="shared" si="3"/>
        <v>0</v>
      </c>
      <c r="Q24" s="16">
        <f t="shared" si="3"/>
        <v>0</v>
      </c>
      <c r="R24" s="39">
        <f t="shared" si="4"/>
        <v>4.1666666666666685E-2</v>
      </c>
      <c r="S24" s="39">
        <f t="shared" si="5"/>
        <v>4.1666666666666685E-2</v>
      </c>
    </row>
    <row r="25" spans="1:19" s="19" customFormat="1" ht="15.95" customHeight="1">
      <c r="A25" s="41">
        <f>MAX($A$4:A24)+1</f>
        <v>21</v>
      </c>
      <c r="B25" s="42">
        <v>0.3541666666666663</v>
      </c>
      <c r="C25" s="42">
        <f t="shared" si="8"/>
        <v>0.39583333333333298</v>
      </c>
      <c r="D25" s="42">
        <f t="shared" si="6"/>
        <v>6.9444444444444198E-3</v>
      </c>
      <c r="E25" s="42">
        <f t="shared" si="7"/>
        <v>6.9444444444444198E-3</v>
      </c>
      <c r="F25" s="42">
        <v>0.35138888888888853</v>
      </c>
      <c r="G25" s="42">
        <f t="shared" si="9"/>
        <v>0.39305555555555521</v>
      </c>
      <c r="H25" s="16">
        <f t="shared" si="10"/>
        <v>1.6666666666666441E-2</v>
      </c>
      <c r="I25" s="16">
        <f t="shared" si="11"/>
        <v>1.1111111111110905E-2</v>
      </c>
      <c r="J25" s="15">
        <v>0.3541666666666663</v>
      </c>
      <c r="K25" s="15">
        <v>0.39583333333333298</v>
      </c>
      <c r="L25" s="15">
        <v>0.35138888888888853</v>
      </c>
      <c r="M25" s="45">
        <v>0.39305555555555521</v>
      </c>
      <c r="N25" s="16">
        <f t="shared" ref="N25:O73" si="12">J25-B25</f>
        <v>0</v>
      </c>
      <c r="O25" s="16">
        <f t="shared" si="12"/>
        <v>0</v>
      </c>
      <c r="P25" s="16">
        <f t="shared" ref="P25:Q73" si="13">L25-F25</f>
        <v>0</v>
      </c>
      <c r="Q25" s="16">
        <f t="shared" si="13"/>
        <v>0</v>
      </c>
      <c r="R25" s="39">
        <f t="shared" si="4"/>
        <v>4.1666666666666685E-2</v>
      </c>
      <c r="S25" s="39">
        <f t="shared" si="5"/>
        <v>4.1666666666666685E-2</v>
      </c>
    </row>
    <row r="26" spans="1:19" s="19" customFormat="1" ht="15.95" customHeight="1">
      <c r="A26" s="41">
        <f>MAX($A$4:A25)+1</f>
        <v>22</v>
      </c>
      <c r="B26" s="42">
        <v>0.36111111111111072</v>
      </c>
      <c r="C26" s="42">
        <f t="shared" si="8"/>
        <v>0.4027777777777774</v>
      </c>
      <c r="D26" s="42">
        <f t="shared" si="6"/>
        <v>6.9444444444444198E-3</v>
      </c>
      <c r="E26" s="42">
        <f t="shared" si="7"/>
        <v>6.9444444444444198E-3</v>
      </c>
      <c r="F26" s="42">
        <v>0.35833333333333295</v>
      </c>
      <c r="G26" s="42">
        <f t="shared" si="9"/>
        <v>0.39999999999999963</v>
      </c>
      <c r="H26" s="16">
        <f t="shared" si="10"/>
        <v>1.6666666666666441E-2</v>
      </c>
      <c r="I26" s="16">
        <f t="shared" si="11"/>
        <v>1.1111111111110905E-2</v>
      </c>
      <c r="J26" s="15">
        <v>0.36111111111111072</v>
      </c>
      <c r="K26" s="15">
        <v>0.4027777777777774</v>
      </c>
      <c r="L26" s="15">
        <v>0.35833333333333295</v>
      </c>
      <c r="M26" s="45">
        <v>0.39999999999999963</v>
      </c>
      <c r="N26" s="16">
        <f t="shared" si="12"/>
        <v>0</v>
      </c>
      <c r="O26" s="16">
        <f t="shared" si="12"/>
        <v>0</v>
      </c>
      <c r="P26" s="16">
        <f t="shared" si="13"/>
        <v>0</v>
      </c>
      <c r="Q26" s="16">
        <f t="shared" si="13"/>
        <v>0</v>
      </c>
      <c r="R26" s="39">
        <f t="shared" si="4"/>
        <v>4.1666666666666685E-2</v>
      </c>
      <c r="S26" s="39">
        <f t="shared" si="5"/>
        <v>4.1666666666666685E-2</v>
      </c>
    </row>
    <row r="27" spans="1:19" s="19" customFormat="1" ht="15.95" customHeight="1">
      <c r="A27" s="41">
        <f>MAX($A$4:A26)+1</f>
        <v>23</v>
      </c>
      <c r="B27" s="42">
        <v>0.36805555555555514</v>
      </c>
      <c r="C27" s="42">
        <f t="shared" si="8"/>
        <v>0.40972222222222182</v>
      </c>
      <c r="D27" s="42">
        <f t="shared" si="6"/>
        <v>6.9444444444444198E-3</v>
      </c>
      <c r="E27" s="42">
        <f t="shared" si="7"/>
        <v>6.9444444444444198E-3</v>
      </c>
      <c r="F27" s="42">
        <v>0.36527777777777737</v>
      </c>
      <c r="G27" s="42">
        <f t="shared" si="9"/>
        <v>0.40694444444444405</v>
      </c>
      <c r="H27" s="16">
        <f t="shared" si="10"/>
        <v>1.6666666666666441E-2</v>
      </c>
      <c r="I27" s="16">
        <f t="shared" si="11"/>
        <v>1.1111111111110905E-2</v>
      </c>
      <c r="J27" s="15">
        <v>0.36805555555555514</v>
      </c>
      <c r="K27" s="15">
        <v>0.40972222222222182</v>
      </c>
      <c r="L27" s="15">
        <v>0.36527777777777737</v>
      </c>
      <c r="M27" s="45">
        <v>0.40694444444444405</v>
      </c>
      <c r="N27" s="16">
        <f t="shared" si="12"/>
        <v>0</v>
      </c>
      <c r="O27" s="16">
        <f t="shared" si="12"/>
        <v>0</v>
      </c>
      <c r="P27" s="16">
        <f t="shared" si="13"/>
        <v>0</v>
      </c>
      <c r="Q27" s="16">
        <f t="shared" si="13"/>
        <v>0</v>
      </c>
      <c r="R27" s="39">
        <f t="shared" si="4"/>
        <v>4.1666666666666685E-2</v>
      </c>
      <c r="S27" s="39">
        <f t="shared" si="5"/>
        <v>4.1666666666666685E-2</v>
      </c>
    </row>
    <row r="28" spans="1:19" s="19" customFormat="1" ht="15.95" customHeight="1">
      <c r="A28" s="41">
        <f>MAX($A$4:A27)+1</f>
        <v>24</v>
      </c>
      <c r="B28" s="42">
        <v>0.37499999999999956</v>
      </c>
      <c r="C28" s="42">
        <f t="shared" si="8"/>
        <v>0.41666666666666624</v>
      </c>
      <c r="D28" s="42">
        <f t="shared" si="6"/>
        <v>6.9444444444444198E-3</v>
      </c>
      <c r="E28" s="42">
        <f t="shared" si="7"/>
        <v>6.9444444444444198E-3</v>
      </c>
      <c r="F28" s="42">
        <v>0.37222222222222179</v>
      </c>
      <c r="G28" s="42">
        <f t="shared" si="9"/>
        <v>0.41388888888888847</v>
      </c>
      <c r="H28" s="16">
        <f t="shared" si="10"/>
        <v>1.6666666666666441E-2</v>
      </c>
      <c r="I28" s="16">
        <f t="shared" si="11"/>
        <v>1.1111111111110905E-2</v>
      </c>
      <c r="J28" s="15">
        <v>0.37499999999999956</v>
      </c>
      <c r="K28" s="15">
        <v>0.41666666666666624</v>
      </c>
      <c r="L28" s="15">
        <v>0.37222222222222179</v>
      </c>
      <c r="M28" s="45">
        <v>0.41388888888888847</v>
      </c>
      <c r="N28" s="16">
        <f t="shared" si="12"/>
        <v>0</v>
      </c>
      <c r="O28" s="16">
        <f t="shared" si="12"/>
        <v>0</v>
      </c>
      <c r="P28" s="16">
        <f t="shared" si="13"/>
        <v>0</v>
      </c>
      <c r="Q28" s="16">
        <f t="shared" si="13"/>
        <v>0</v>
      </c>
      <c r="R28" s="39">
        <f t="shared" si="4"/>
        <v>4.1666666666666685E-2</v>
      </c>
      <c r="S28" s="39">
        <f t="shared" si="5"/>
        <v>4.1666666666666685E-2</v>
      </c>
    </row>
    <row r="29" spans="1:19" s="19" customFormat="1" ht="15.95" customHeight="1">
      <c r="A29" s="41">
        <f>MAX($A$4:A28)+1</f>
        <v>25</v>
      </c>
      <c r="B29" s="42">
        <v>0.38194444444444398</v>
      </c>
      <c r="C29" s="42">
        <f t="shared" si="8"/>
        <v>0.42361111111111066</v>
      </c>
      <c r="D29" s="42">
        <f t="shared" si="6"/>
        <v>6.9444444444444198E-3</v>
      </c>
      <c r="E29" s="42">
        <f t="shared" si="7"/>
        <v>6.9444444444444198E-3</v>
      </c>
      <c r="F29" s="42">
        <v>0.37916666666666621</v>
      </c>
      <c r="G29" s="42">
        <f t="shared" si="9"/>
        <v>0.42083333333333289</v>
      </c>
      <c r="H29" s="16">
        <f t="shared" si="10"/>
        <v>1.6666666666666441E-2</v>
      </c>
      <c r="I29" s="16">
        <f t="shared" si="11"/>
        <v>1.1111111111110905E-2</v>
      </c>
      <c r="J29" s="15">
        <v>0.38194444444444398</v>
      </c>
      <c r="K29" s="15">
        <v>0.42361111111111066</v>
      </c>
      <c r="L29" s="15">
        <v>0.37916666666666621</v>
      </c>
      <c r="M29" s="45">
        <v>0.42083333333333289</v>
      </c>
      <c r="N29" s="16">
        <f t="shared" si="12"/>
        <v>0</v>
      </c>
      <c r="O29" s="16">
        <f t="shared" si="12"/>
        <v>0</v>
      </c>
      <c r="P29" s="16">
        <f t="shared" si="13"/>
        <v>0</v>
      </c>
      <c r="Q29" s="16">
        <f t="shared" si="13"/>
        <v>0</v>
      </c>
      <c r="R29" s="39">
        <f t="shared" si="4"/>
        <v>4.1666666666666685E-2</v>
      </c>
      <c r="S29" s="39">
        <f t="shared" si="5"/>
        <v>4.1666666666666685E-2</v>
      </c>
    </row>
    <row r="30" spans="1:19" s="19" customFormat="1" ht="15.95" customHeight="1">
      <c r="A30" s="41">
        <f>MAX($A$4:A29)+1</f>
        <v>26</v>
      </c>
      <c r="B30" s="42">
        <v>0.3888888888888884</v>
      </c>
      <c r="C30" s="42">
        <f t="shared" si="8"/>
        <v>0.43055555555555508</v>
      </c>
      <c r="D30" s="42">
        <f t="shared" si="6"/>
        <v>6.9444444444444198E-3</v>
      </c>
      <c r="E30" s="42">
        <f t="shared" si="7"/>
        <v>6.9444444444444198E-3</v>
      </c>
      <c r="F30" s="42">
        <v>0.38611111111111063</v>
      </c>
      <c r="G30" s="42">
        <f t="shared" si="9"/>
        <v>0.42777777777777731</v>
      </c>
      <c r="H30" s="16">
        <f t="shared" si="10"/>
        <v>1.6666666666666441E-2</v>
      </c>
      <c r="I30" s="16">
        <f t="shared" si="11"/>
        <v>1.1111111111110905E-2</v>
      </c>
      <c r="J30" s="15">
        <v>0.3888888888888884</v>
      </c>
      <c r="K30" s="15">
        <v>0.43055555555555508</v>
      </c>
      <c r="L30" s="15">
        <v>0.38611111111111063</v>
      </c>
      <c r="M30" s="45">
        <v>0.42777777777777731</v>
      </c>
      <c r="N30" s="16">
        <f t="shared" si="12"/>
        <v>0</v>
      </c>
      <c r="O30" s="16">
        <f t="shared" si="12"/>
        <v>0</v>
      </c>
      <c r="P30" s="16">
        <f t="shared" si="13"/>
        <v>0</v>
      </c>
      <c r="Q30" s="16">
        <f t="shared" si="13"/>
        <v>0</v>
      </c>
      <c r="R30" s="39">
        <f t="shared" si="4"/>
        <v>4.1666666666666685E-2</v>
      </c>
      <c r="S30" s="39">
        <f t="shared" si="5"/>
        <v>4.1666666666666685E-2</v>
      </c>
    </row>
    <row r="31" spans="1:19" s="19" customFormat="1" ht="15.95" customHeight="1">
      <c r="A31" s="41">
        <f>MAX($A$4:A30)+1</f>
        <v>27</v>
      </c>
      <c r="B31" s="42">
        <v>0.39583333333333282</v>
      </c>
      <c r="C31" s="42">
        <f t="shared" si="8"/>
        <v>0.4374999999999995</v>
      </c>
      <c r="D31" s="42">
        <f t="shared" si="6"/>
        <v>6.9444444444444198E-3</v>
      </c>
      <c r="E31" s="42">
        <f t="shared" si="7"/>
        <v>6.9444444444444198E-3</v>
      </c>
      <c r="F31" s="42">
        <v>0.39305555555555505</v>
      </c>
      <c r="G31" s="42">
        <f t="shared" si="9"/>
        <v>0.43472222222222173</v>
      </c>
      <c r="H31" s="16">
        <f t="shared" si="10"/>
        <v>1.6666666666666441E-2</v>
      </c>
      <c r="I31" s="16">
        <f t="shared" si="11"/>
        <v>1.1111111111110905E-2</v>
      </c>
      <c r="J31" s="15">
        <v>0.39583333333333282</v>
      </c>
      <c r="K31" s="15">
        <v>0.4374999999999995</v>
      </c>
      <c r="L31" s="15">
        <v>0.39305555555555505</v>
      </c>
      <c r="M31" s="45">
        <v>0.43472222222222173</v>
      </c>
      <c r="N31" s="16">
        <f t="shared" si="12"/>
        <v>0</v>
      </c>
      <c r="O31" s="16">
        <f t="shared" si="12"/>
        <v>0</v>
      </c>
      <c r="P31" s="16">
        <f t="shared" si="13"/>
        <v>0</v>
      </c>
      <c r="Q31" s="16">
        <f t="shared" si="13"/>
        <v>0</v>
      </c>
      <c r="R31" s="39">
        <f t="shared" si="4"/>
        <v>4.1666666666666685E-2</v>
      </c>
      <c r="S31" s="39">
        <f t="shared" si="5"/>
        <v>4.1666666666666685E-2</v>
      </c>
    </row>
    <row r="32" spans="1:19" s="19" customFormat="1" ht="15.95" customHeight="1">
      <c r="A32" s="41">
        <f>MAX($A$4:A31)+1</f>
        <v>28</v>
      </c>
      <c r="B32" s="42">
        <v>0.40277777777777724</v>
      </c>
      <c r="C32" s="42">
        <f t="shared" si="8"/>
        <v>0.44444444444444392</v>
      </c>
      <c r="D32" s="42">
        <f t="shared" si="6"/>
        <v>6.9444444444444198E-3</v>
      </c>
      <c r="E32" s="42">
        <f t="shared" si="7"/>
        <v>6.9444444444444198E-3</v>
      </c>
      <c r="F32" s="42">
        <v>0.39999999999999947</v>
      </c>
      <c r="G32" s="42">
        <f t="shared" si="9"/>
        <v>0.44166666666666615</v>
      </c>
      <c r="H32" s="16">
        <f t="shared" si="10"/>
        <v>1.6666666666666441E-2</v>
      </c>
      <c r="I32" s="16">
        <f t="shared" si="11"/>
        <v>1.1111111111110905E-2</v>
      </c>
      <c r="J32" s="15">
        <v>0.40277777777777724</v>
      </c>
      <c r="K32" s="15">
        <v>0.44444444444444392</v>
      </c>
      <c r="L32" s="15">
        <v>0.39999999999999947</v>
      </c>
      <c r="M32" s="45">
        <v>0.44166666666666615</v>
      </c>
      <c r="N32" s="16">
        <f t="shared" si="12"/>
        <v>0</v>
      </c>
      <c r="O32" s="16">
        <f t="shared" si="12"/>
        <v>0</v>
      </c>
      <c r="P32" s="16">
        <f t="shared" si="13"/>
        <v>0</v>
      </c>
      <c r="Q32" s="16">
        <f t="shared" si="13"/>
        <v>0</v>
      </c>
      <c r="R32" s="39">
        <f t="shared" si="4"/>
        <v>4.1666666666666685E-2</v>
      </c>
      <c r="S32" s="39">
        <f t="shared" si="5"/>
        <v>4.1666666666666685E-2</v>
      </c>
    </row>
    <row r="33" spans="1:19" s="19" customFormat="1" ht="15.95" customHeight="1">
      <c r="A33" s="41">
        <f>MAX($A$4:A32)+1</f>
        <v>29</v>
      </c>
      <c r="B33" s="42">
        <v>0.40972222222222165</v>
      </c>
      <c r="C33" s="42">
        <f t="shared" si="8"/>
        <v>0.45138888888888834</v>
      </c>
      <c r="D33" s="42">
        <f t="shared" si="6"/>
        <v>6.9444444444444198E-3</v>
      </c>
      <c r="E33" s="42">
        <f t="shared" si="7"/>
        <v>6.9444444444444198E-3</v>
      </c>
      <c r="F33" s="42">
        <v>0.40694444444444389</v>
      </c>
      <c r="G33" s="42">
        <f t="shared" si="9"/>
        <v>0.44861111111111057</v>
      </c>
      <c r="H33" s="16">
        <f t="shared" si="10"/>
        <v>1.6666666666666441E-2</v>
      </c>
      <c r="I33" s="16">
        <f t="shared" si="11"/>
        <v>1.1111111111110905E-2</v>
      </c>
      <c r="J33" s="15">
        <v>0.40972222222222165</v>
      </c>
      <c r="K33" s="15">
        <v>0.45138888888888834</v>
      </c>
      <c r="L33" s="15">
        <v>0.40694444444444389</v>
      </c>
      <c r="M33" s="45">
        <v>0.44861111111111057</v>
      </c>
      <c r="N33" s="16">
        <f t="shared" si="12"/>
        <v>0</v>
      </c>
      <c r="O33" s="16">
        <f t="shared" si="12"/>
        <v>0</v>
      </c>
      <c r="P33" s="16">
        <f t="shared" si="13"/>
        <v>0</v>
      </c>
      <c r="Q33" s="16">
        <f t="shared" si="13"/>
        <v>0</v>
      </c>
      <c r="R33" s="39">
        <f t="shared" si="4"/>
        <v>4.1666666666666685E-2</v>
      </c>
      <c r="S33" s="39">
        <f t="shared" si="5"/>
        <v>4.1666666666666685E-2</v>
      </c>
    </row>
    <row r="34" spans="1:19" s="19" customFormat="1" ht="15.95" customHeight="1">
      <c r="A34" s="41">
        <f>MAX($A$4:A33)+1</f>
        <v>30</v>
      </c>
      <c r="B34" s="42">
        <v>0.41666666666666607</v>
      </c>
      <c r="C34" s="42">
        <f t="shared" si="8"/>
        <v>0.45833333333333276</v>
      </c>
      <c r="D34" s="42">
        <f t="shared" si="6"/>
        <v>6.9444444444444198E-3</v>
      </c>
      <c r="E34" s="42">
        <f t="shared" si="7"/>
        <v>6.9444444444444198E-3</v>
      </c>
      <c r="F34" s="42">
        <v>0.41388888888888831</v>
      </c>
      <c r="G34" s="42">
        <f t="shared" si="9"/>
        <v>0.45555555555555499</v>
      </c>
      <c r="H34" s="16">
        <f t="shared" si="10"/>
        <v>1.6666666666666441E-2</v>
      </c>
      <c r="I34" s="16">
        <f t="shared" si="11"/>
        <v>1.1111111111110905E-2</v>
      </c>
      <c r="J34" s="15">
        <v>0.41666666666666607</v>
      </c>
      <c r="K34" s="15">
        <v>0.45833333333333276</v>
      </c>
      <c r="L34" s="15">
        <v>0.41388888888888831</v>
      </c>
      <c r="M34" s="45">
        <v>0.45555555555555499</v>
      </c>
      <c r="N34" s="16">
        <f t="shared" si="12"/>
        <v>0</v>
      </c>
      <c r="O34" s="16">
        <f t="shared" si="12"/>
        <v>0</v>
      </c>
      <c r="P34" s="16">
        <f t="shared" si="13"/>
        <v>0</v>
      </c>
      <c r="Q34" s="16">
        <f t="shared" si="13"/>
        <v>0</v>
      </c>
      <c r="R34" s="39">
        <f t="shared" si="4"/>
        <v>4.1666666666666685E-2</v>
      </c>
      <c r="S34" s="39">
        <f t="shared" si="5"/>
        <v>4.1666666666666685E-2</v>
      </c>
    </row>
    <row r="35" spans="1:19" s="19" customFormat="1" ht="15.95" customHeight="1">
      <c r="A35" s="41">
        <f>MAX($A$4:A34)+1</f>
        <v>31</v>
      </c>
      <c r="B35" s="42">
        <v>0.42361111111111049</v>
      </c>
      <c r="C35" s="42">
        <f t="shared" si="8"/>
        <v>0.46527777777777718</v>
      </c>
      <c r="D35" s="42">
        <f t="shared" si="6"/>
        <v>6.9444444444444198E-3</v>
      </c>
      <c r="E35" s="42">
        <f t="shared" si="7"/>
        <v>6.9444444444444198E-3</v>
      </c>
      <c r="F35" s="42">
        <v>0.42083333333333273</v>
      </c>
      <c r="G35" s="42">
        <f t="shared" si="9"/>
        <v>0.46249999999999941</v>
      </c>
      <c r="H35" s="16">
        <f t="shared" si="10"/>
        <v>1.6666666666666441E-2</v>
      </c>
      <c r="I35" s="16">
        <f t="shared" si="11"/>
        <v>1.1111111111110905E-2</v>
      </c>
      <c r="J35" s="15">
        <v>0.42361111111111049</v>
      </c>
      <c r="K35" s="15">
        <v>0.46527777777777718</v>
      </c>
      <c r="L35" s="15">
        <v>0.42083333333333273</v>
      </c>
      <c r="M35" s="45">
        <v>0.46249999999999941</v>
      </c>
      <c r="N35" s="16">
        <f t="shared" si="12"/>
        <v>0</v>
      </c>
      <c r="O35" s="16">
        <f t="shared" si="12"/>
        <v>0</v>
      </c>
      <c r="P35" s="16">
        <f t="shared" si="13"/>
        <v>0</v>
      </c>
      <c r="Q35" s="16">
        <f t="shared" si="13"/>
        <v>0</v>
      </c>
      <c r="R35" s="39">
        <f t="shared" si="4"/>
        <v>4.1666666666666685E-2</v>
      </c>
      <c r="S35" s="39">
        <f t="shared" si="5"/>
        <v>4.1666666666666685E-2</v>
      </c>
    </row>
    <row r="36" spans="1:19" s="19" customFormat="1" ht="15.95" customHeight="1">
      <c r="A36" s="41">
        <f>MAX($A$4:A35)+1</f>
        <v>32</v>
      </c>
      <c r="B36" s="42">
        <v>0.43055555555555491</v>
      </c>
      <c r="C36" s="42">
        <f t="shared" si="8"/>
        <v>0.4722222222222216</v>
      </c>
      <c r="D36" s="42">
        <f t="shared" si="6"/>
        <v>6.9444444444444198E-3</v>
      </c>
      <c r="E36" s="42">
        <f t="shared" si="7"/>
        <v>6.9444444444444198E-3</v>
      </c>
      <c r="F36" s="42">
        <v>0.42777777777777715</v>
      </c>
      <c r="G36" s="42">
        <f t="shared" si="9"/>
        <v>0.46944444444444383</v>
      </c>
      <c r="H36" s="16">
        <f t="shared" si="10"/>
        <v>1.6666666666666441E-2</v>
      </c>
      <c r="I36" s="16">
        <f t="shared" si="11"/>
        <v>1.1111111111110905E-2</v>
      </c>
      <c r="J36" s="15">
        <v>0.43055555555555491</v>
      </c>
      <c r="K36" s="15">
        <v>0.4722222222222216</v>
      </c>
      <c r="L36" s="15">
        <v>0.42777777777777715</v>
      </c>
      <c r="M36" s="45">
        <v>0.46944444444444383</v>
      </c>
      <c r="N36" s="16">
        <f t="shared" si="12"/>
        <v>0</v>
      </c>
      <c r="O36" s="16">
        <f t="shared" si="12"/>
        <v>0</v>
      </c>
      <c r="P36" s="16">
        <f t="shared" si="13"/>
        <v>0</v>
      </c>
      <c r="Q36" s="16">
        <f t="shared" si="13"/>
        <v>0</v>
      </c>
      <c r="R36" s="39">
        <f t="shared" si="4"/>
        <v>4.1666666666666685E-2</v>
      </c>
      <c r="S36" s="39">
        <f t="shared" si="5"/>
        <v>4.1666666666666685E-2</v>
      </c>
    </row>
    <row r="37" spans="1:19" s="19" customFormat="1" ht="15.95" customHeight="1">
      <c r="A37" s="41">
        <f>MAX($A$4:A36)+1</f>
        <v>33</v>
      </c>
      <c r="B37" s="42">
        <v>0.43749999999999933</v>
      </c>
      <c r="C37" s="42">
        <f t="shared" si="8"/>
        <v>0.47916666666666602</v>
      </c>
      <c r="D37" s="42">
        <f t="shared" si="6"/>
        <v>6.9444444444444198E-3</v>
      </c>
      <c r="E37" s="42">
        <f t="shared" si="7"/>
        <v>6.9444444444444198E-3</v>
      </c>
      <c r="F37" s="42">
        <v>0.43472222222222157</v>
      </c>
      <c r="G37" s="42">
        <f t="shared" si="9"/>
        <v>0.47638888888888825</v>
      </c>
      <c r="H37" s="16">
        <f t="shared" si="10"/>
        <v>1.6666666666666441E-2</v>
      </c>
      <c r="I37" s="16">
        <f t="shared" si="11"/>
        <v>1.1111111111110905E-2</v>
      </c>
      <c r="J37" s="15">
        <v>0.43749999999999933</v>
      </c>
      <c r="K37" s="15">
        <v>0.47916666666666602</v>
      </c>
      <c r="L37" s="15">
        <v>0.43472222222222157</v>
      </c>
      <c r="M37" s="45">
        <v>0.47638888888888825</v>
      </c>
      <c r="N37" s="16">
        <f t="shared" si="12"/>
        <v>0</v>
      </c>
      <c r="O37" s="16">
        <f t="shared" si="12"/>
        <v>0</v>
      </c>
      <c r="P37" s="16">
        <f t="shared" si="13"/>
        <v>0</v>
      </c>
      <c r="Q37" s="16">
        <f t="shared" si="13"/>
        <v>0</v>
      </c>
      <c r="R37" s="39">
        <f t="shared" si="4"/>
        <v>4.1666666666666685E-2</v>
      </c>
      <c r="S37" s="39">
        <f t="shared" si="5"/>
        <v>4.1666666666666685E-2</v>
      </c>
    </row>
    <row r="38" spans="1:19" s="19" customFormat="1" ht="15.95" customHeight="1">
      <c r="A38" s="41">
        <f>MAX($A$4:A37)+1</f>
        <v>34</v>
      </c>
      <c r="B38" s="42">
        <v>0.44444444444444375</v>
      </c>
      <c r="C38" s="42">
        <f t="shared" si="8"/>
        <v>0.48611111111111044</v>
      </c>
      <c r="D38" s="42">
        <f t="shared" si="6"/>
        <v>6.9444444444444198E-3</v>
      </c>
      <c r="E38" s="42">
        <f t="shared" si="7"/>
        <v>6.9444444444444198E-3</v>
      </c>
      <c r="F38" s="42">
        <v>0.44166666666666599</v>
      </c>
      <c r="G38" s="42">
        <f t="shared" si="9"/>
        <v>0.48333333333333267</v>
      </c>
      <c r="H38" s="16">
        <f t="shared" si="10"/>
        <v>1.6666666666666441E-2</v>
      </c>
      <c r="I38" s="16">
        <f t="shared" si="11"/>
        <v>1.1111111111110905E-2</v>
      </c>
      <c r="J38" s="15">
        <v>0.44444444444444375</v>
      </c>
      <c r="K38" s="15">
        <v>0.48611111111111044</v>
      </c>
      <c r="L38" s="15">
        <v>0.44166666666666599</v>
      </c>
      <c r="M38" s="45">
        <v>0.48333333333333267</v>
      </c>
      <c r="N38" s="16">
        <f t="shared" si="12"/>
        <v>0</v>
      </c>
      <c r="O38" s="16">
        <f t="shared" si="12"/>
        <v>0</v>
      </c>
      <c r="P38" s="16">
        <f t="shared" si="13"/>
        <v>0</v>
      </c>
      <c r="Q38" s="16">
        <f t="shared" si="13"/>
        <v>0</v>
      </c>
      <c r="R38" s="39">
        <f t="shared" si="4"/>
        <v>4.1666666666666685E-2</v>
      </c>
      <c r="S38" s="39">
        <f t="shared" si="5"/>
        <v>4.1666666666666685E-2</v>
      </c>
    </row>
    <row r="39" spans="1:19" s="19" customFormat="1" ht="15.95" customHeight="1">
      <c r="A39" s="41">
        <f>MAX($A$4:A38)+1</f>
        <v>35</v>
      </c>
      <c r="B39" s="42">
        <v>0.45138888888888817</v>
      </c>
      <c r="C39" s="42">
        <f t="shared" si="8"/>
        <v>0.49305555555555486</v>
      </c>
      <c r="D39" s="42">
        <f t="shared" si="6"/>
        <v>6.9444444444444198E-3</v>
      </c>
      <c r="E39" s="42">
        <f t="shared" si="7"/>
        <v>6.9444444444444198E-3</v>
      </c>
      <c r="F39" s="42">
        <v>0.44861111111111041</v>
      </c>
      <c r="G39" s="42">
        <f t="shared" si="9"/>
        <v>0.49027777777777709</v>
      </c>
      <c r="H39" s="16">
        <f t="shared" si="10"/>
        <v>1.6666666666666441E-2</v>
      </c>
      <c r="I39" s="16">
        <f t="shared" si="11"/>
        <v>1.1111111111110905E-2</v>
      </c>
      <c r="J39" s="15">
        <v>0.45138888888888817</v>
      </c>
      <c r="K39" s="15">
        <v>0.49305555555555486</v>
      </c>
      <c r="L39" s="15">
        <v>0.44861111111111041</v>
      </c>
      <c r="M39" s="45">
        <v>0.49027777777777709</v>
      </c>
      <c r="N39" s="16">
        <f t="shared" si="12"/>
        <v>0</v>
      </c>
      <c r="O39" s="16">
        <f t="shared" si="12"/>
        <v>0</v>
      </c>
      <c r="P39" s="16">
        <f t="shared" si="13"/>
        <v>0</v>
      </c>
      <c r="Q39" s="16">
        <f t="shared" si="13"/>
        <v>0</v>
      </c>
      <c r="R39" s="39">
        <f t="shared" si="4"/>
        <v>4.1666666666666685E-2</v>
      </c>
      <c r="S39" s="39">
        <f t="shared" si="5"/>
        <v>4.1666666666666685E-2</v>
      </c>
    </row>
    <row r="40" spans="1:19" s="19" customFormat="1" ht="15.95" customHeight="1">
      <c r="A40" s="41">
        <f>MAX($A$4:A39)+1</f>
        <v>36</v>
      </c>
      <c r="B40" s="42">
        <v>0.45833333333333259</v>
      </c>
      <c r="C40" s="42">
        <f t="shared" si="8"/>
        <v>0.49999999999999928</v>
      </c>
      <c r="D40" s="42">
        <f t="shared" si="6"/>
        <v>6.9444444444444198E-3</v>
      </c>
      <c r="E40" s="42">
        <f t="shared" si="7"/>
        <v>6.9444444444444198E-3</v>
      </c>
      <c r="F40" s="42">
        <v>0.45555555555555483</v>
      </c>
      <c r="G40" s="42">
        <f t="shared" si="9"/>
        <v>0.49722222222222151</v>
      </c>
      <c r="H40" s="16">
        <f t="shared" si="10"/>
        <v>1.6666666666666441E-2</v>
      </c>
      <c r="I40" s="16">
        <f t="shared" si="11"/>
        <v>1.1111111111110905E-2</v>
      </c>
      <c r="J40" s="15">
        <v>0.45833333333333259</v>
      </c>
      <c r="K40" s="15">
        <v>0.49999999999999928</v>
      </c>
      <c r="L40" s="15">
        <v>0.45555555555555483</v>
      </c>
      <c r="M40" s="45">
        <v>0.49722222222222151</v>
      </c>
      <c r="N40" s="16">
        <f t="shared" si="12"/>
        <v>0</v>
      </c>
      <c r="O40" s="16">
        <f t="shared" si="12"/>
        <v>0</v>
      </c>
      <c r="P40" s="16">
        <f t="shared" si="13"/>
        <v>0</v>
      </c>
      <c r="Q40" s="16">
        <f t="shared" si="13"/>
        <v>0</v>
      </c>
      <c r="R40" s="39">
        <f t="shared" si="4"/>
        <v>4.1666666666666685E-2</v>
      </c>
      <c r="S40" s="39">
        <f t="shared" si="5"/>
        <v>4.1666666666666685E-2</v>
      </c>
    </row>
    <row r="41" spans="1:19" s="19" customFormat="1" ht="15.95" customHeight="1">
      <c r="A41" s="41">
        <f>MAX($A$4:A40)+1</f>
        <v>37</v>
      </c>
      <c r="B41" s="42">
        <v>0.46527777777777701</v>
      </c>
      <c r="C41" s="42">
        <f t="shared" si="8"/>
        <v>0.50694444444444364</v>
      </c>
      <c r="D41" s="42">
        <f t="shared" si="6"/>
        <v>6.9444444444444198E-3</v>
      </c>
      <c r="E41" s="42">
        <f t="shared" si="7"/>
        <v>6.9444444444444198E-3</v>
      </c>
      <c r="F41" s="42">
        <v>0.46249999999999925</v>
      </c>
      <c r="G41" s="42">
        <f t="shared" si="9"/>
        <v>0.50416666666666587</v>
      </c>
      <c r="H41" s="16">
        <f t="shared" si="10"/>
        <v>1.6666666666666441E-2</v>
      </c>
      <c r="I41" s="16">
        <f t="shared" si="11"/>
        <v>1.1111111111110905E-2</v>
      </c>
      <c r="J41" s="15">
        <v>0.46527777777777701</v>
      </c>
      <c r="K41" s="15">
        <v>0.50694444444444364</v>
      </c>
      <c r="L41" s="15">
        <v>0.46249999999999925</v>
      </c>
      <c r="M41" s="45">
        <v>0.50416666666666587</v>
      </c>
      <c r="N41" s="16">
        <f t="shared" si="12"/>
        <v>0</v>
      </c>
      <c r="O41" s="16">
        <f t="shared" si="12"/>
        <v>0</v>
      </c>
      <c r="P41" s="16">
        <f t="shared" si="13"/>
        <v>0</v>
      </c>
      <c r="Q41" s="16">
        <f t="shared" si="13"/>
        <v>0</v>
      </c>
      <c r="R41" s="39">
        <f t="shared" si="4"/>
        <v>4.166666666666663E-2</v>
      </c>
      <c r="S41" s="39">
        <f t="shared" si="5"/>
        <v>4.166666666666663E-2</v>
      </c>
    </row>
    <row r="42" spans="1:19" s="19" customFormat="1" ht="15.95" customHeight="1">
      <c r="A42" s="41">
        <f>MAX($A$4:A41)+1</f>
        <v>38</v>
      </c>
      <c r="B42" s="42">
        <v>0.47222222222222143</v>
      </c>
      <c r="C42" s="42">
        <f t="shared" si="8"/>
        <v>0.51388888888888806</v>
      </c>
      <c r="D42" s="42">
        <f t="shared" si="6"/>
        <v>6.9444444444444198E-3</v>
      </c>
      <c r="E42" s="42">
        <f t="shared" si="7"/>
        <v>6.9444444444444198E-3</v>
      </c>
      <c r="F42" s="42">
        <v>0.46944444444444366</v>
      </c>
      <c r="G42" s="42">
        <f t="shared" si="9"/>
        <v>0.51111111111111029</v>
      </c>
      <c r="H42" s="16">
        <f t="shared" si="10"/>
        <v>1.6666666666666441E-2</v>
      </c>
      <c r="I42" s="16">
        <f t="shared" si="11"/>
        <v>1.1111111111110905E-2</v>
      </c>
      <c r="J42" s="15">
        <v>0.47222222222222143</v>
      </c>
      <c r="K42" s="15">
        <v>0.51388888888888806</v>
      </c>
      <c r="L42" s="15">
        <v>0.46944444444444366</v>
      </c>
      <c r="M42" s="45">
        <v>0.51111111111111029</v>
      </c>
      <c r="N42" s="16">
        <f t="shared" si="12"/>
        <v>0</v>
      </c>
      <c r="O42" s="16">
        <f t="shared" si="12"/>
        <v>0</v>
      </c>
      <c r="P42" s="16">
        <f t="shared" si="13"/>
        <v>0</v>
      </c>
      <c r="Q42" s="16">
        <f t="shared" si="13"/>
        <v>0</v>
      </c>
      <c r="R42" s="39">
        <f t="shared" si="4"/>
        <v>4.166666666666663E-2</v>
      </c>
      <c r="S42" s="39">
        <f t="shared" si="5"/>
        <v>4.166666666666663E-2</v>
      </c>
    </row>
    <row r="43" spans="1:19" s="19" customFormat="1" ht="15.95" customHeight="1">
      <c r="A43" s="41">
        <f>MAX($A$4:A42)+1</f>
        <v>39</v>
      </c>
      <c r="B43" s="42">
        <v>0.47916666666666585</v>
      </c>
      <c r="C43" s="42">
        <f t="shared" ref="C43:C70" si="14">B43+$H$3</f>
        <v>0.52083333333333248</v>
      </c>
      <c r="D43" s="42">
        <f t="shared" si="6"/>
        <v>6.9444444444444198E-3</v>
      </c>
      <c r="E43" s="42">
        <f t="shared" si="7"/>
        <v>6.9444444444444198E-3</v>
      </c>
      <c r="F43" s="42">
        <v>0.47638888888888808</v>
      </c>
      <c r="G43" s="42">
        <f t="shared" ref="G43:G70" si="15">F43+$H$3</f>
        <v>0.51805555555555471</v>
      </c>
      <c r="H43" s="16">
        <f t="shared" si="10"/>
        <v>1.6666666666666441E-2</v>
      </c>
      <c r="I43" s="16">
        <f t="shared" si="11"/>
        <v>1.1111111111110905E-2</v>
      </c>
      <c r="J43" s="15">
        <v>0.47916666666666585</v>
      </c>
      <c r="K43" s="15">
        <v>0.52083333333333248</v>
      </c>
      <c r="L43" s="15">
        <v>0.47638888888888808</v>
      </c>
      <c r="M43" s="45">
        <v>0.51805555555555471</v>
      </c>
      <c r="N43" s="16">
        <f t="shared" si="12"/>
        <v>0</v>
      </c>
      <c r="O43" s="16">
        <f t="shared" si="12"/>
        <v>0</v>
      </c>
      <c r="P43" s="16">
        <f t="shared" si="13"/>
        <v>0</v>
      </c>
      <c r="Q43" s="16">
        <f t="shared" si="13"/>
        <v>0</v>
      </c>
      <c r="R43" s="39">
        <f t="shared" si="4"/>
        <v>4.166666666666663E-2</v>
      </c>
      <c r="S43" s="39">
        <f t="shared" si="5"/>
        <v>4.166666666666663E-2</v>
      </c>
    </row>
    <row r="44" spans="1:19" s="19" customFormat="1" ht="15.95" customHeight="1">
      <c r="A44" s="41">
        <f>MAX($A$4:A43)+1</f>
        <v>40</v>
      </c>
      <c r="B44" s="42">
        <v>0.48749999999999921</v>
      </c>
      <c r="C44" s="42">
        <f t="shared" si="14"/>
        <v>0.5291666666666659</v>
      </c>
      <c r="D44" s="42">
        <f t="shared" si="6"/>
        <v>8.3333333333333592E-3</v>
      </c>
      <c r="E44" s="42">
        <f t="shared" si="7"/>
        <v>6.9444444444444198E-3</v>
      </c>
      <c r="F44" s="42">
        <v>0.4833333333333325</v>
      </c>
      <c r="G44" s="42">
        <f t="shared" si="15"/>
        <v>0.52499999999999913</v>
      </c>
      <c r="H44" s="16">
        <f t="shared" si="10"/>
        <v>1.805555555555538E-2</v>
      </c>
      <c r="I44" s="16">
        <f t="shared" si="11"/>
        <v>1.1111111111110905E-2</v>
      </c>
      <c r="J44" s="15">
        <v>0.48749999999999921</v>
      </c>
      <c r="K44" s="15">
        <v>0.5291666666666659</v>
      </c>
      <c r="L44" s="15">
        <v>0.4833333333333325</v>
      </c>
      <c r="M44" s="45">
        <v>0.52499999999999913</v>
      </c>
      <c r="N44" s="16">
        <f t="shared" si="12"/>
        <v>0</v>
      </c>
      <c r="O44" s="16">
        <f t="shared" si="12"/>
        <v>0</v>
      </c>
      <c r="P44" s="16">
        <f t="shared" si="13"/>
        <v>0</v>
      </c>
      <c r="Q44" s="16">
        <f t="shared" si="13"/>
        <v>0</v>
      </c>
      <c r="R44" s="39">
        <f t="shared" si="4"/>
        <v>4.1666666666666685E-2</v>
      </c>
      <c r="S44" s="39">
        <f t="shared" si="5"/>
        <v>4.166666666666663E-2</v>
      </c>
    </row>
    <row r="45" spans="1:19" s="19" customFormat="1" ht="15.95" customHeight="1">
      <c r="A45" s="41">
        <f>MAX($A$4:A44)+1</f>
        <v>41</v>
      </c>
      <c r="B45" s="42">
        <v>0.49583333333333257</v>
      </c>
      <c r="C45" s="42">
        <f t="shared" si="14"/>
        <v>0.5374999999999992</v>
      </c>
      <c r="D45" s="42">
        <f t="shared" si="6"/>
        <v>8.3333333333333592E-3</v>
      </c>
      <c r="E45" s="42">
        <f t="shared" si="7"/>
        <v>8.3333333333333592E-3</v>
      </c>
      <c r="F45" s="42">
        <v>0.49166666666666586</v>
      </c>
      <c r="G45" s="42">
        <f t="shared" si="15"/>
        <v>0.53333333333333255</v>
      </c>
      <c r="H45" s="16">
        <f t="shared" si="10"/>
        <v>1.944444444444432E-2</v>
      </c>
      <c r="I45" s="16">
        <f t="shared" si="11"/>
        <v>1.2499999999999845E-2</v>
      </c>
      <c r="J45" s="15">
        <v>0.49583333333333257</v>
      </c>
      <c r="K45" s="15">
        <v>0.5374999999999992</v>
      </c>
      <c r="L45" s="15">
        <v>0.49166666666666586</v>
      </c>
      <c r="M45" s="45">
        <v>0.53333333333333255</v>
      </c>
      <c r="N45" s="16">
        <f t="shared" si="12"/>
        <v>0</v>
      </c>
      <c r="O45" s="16">
        <f t="shared" si="12"/>
        <v>0</v>
      </c>
      <c r="P45" s="16">
        <f t="shared" si="13"/>
        <v>0</v>
      </c>
      <c r="Q45" s="16">
        <f t="shared" si="13"/>
        <v>0</v>
      </c>
      <c r="R45" s="39">
        <f t="shared" si="4"/>
        <v>4.166666666666663E-2</v>
      </c>
      <c r="S45" s="39">
        <f t="shared" si="5"/>
        <v>4.1666666666666685E-2</v>
      </c>
    </row>
    <row r="46" spans="1:19" s="19" customFormat="1" ht="15.95" customHeight="1">
      <c r="A46" s="41">
        <f>MAX($A$4:A45)+1</f>
        <v>42</v>
      </c>
      <c r="B46" s="42">
        <v>0.50416666666666587</v>
      </c>
      <c r="C46" s="42">
        <f t="shared" si="14"/>
        <v>0.5458333333333325</v>
      </c>
      <c r="D46" s="42">
        <f t="shared" si="6"/>
        <v>8.3333333333333037E-3</v>
      </c>
      <c r="E46" s="42">
        <f t="shared" si="7"/>
        <v>8.3333333333333592E-3</v>
      </c>
      <c r="F46" s="42">
        <v>0.49999999999999922</v>
      </c>
      <c r="G46" s="42">
        <f t="shared" si="15"/>
        <v>0.54166666666666585</v>
      </c>
      <c r="H46" s="16">
        <f t="shared" si="10"/>
        <v>2.0833333333333204E-2</v>
      </c>
      <c r="I46" s="16">
        <f t="shared" si="11"/>
        <v>1.3888888888888784E-2</v>
      </c>
      <c r="J46" s="15">
        <v>0.50416666666666587</v>
      </c>
      <c r="K46" s="15">
        <v>0.5458333333333325</v>
      </c>
      <c r="L46" s="15">
        <v>0.49999999999999922</v>
      </c>
      <c r="M46" s="45">
        <v>0.54166666666666585</v>
      </c>
      <c r="N46" s="16">
        <f t="shared" si="12"/>
        <v>0</v>
      </c>
      <c r="O46" s="16">
        <f t="shared" si="12"/>
        <v>0</v>
      </c>
      <c r="P46" s="16">
        <f t="shared" si="13"/>
        <v>0</v>
      </c>
      <c r="Q46" s="16">
        <f t="shared" si="13"/>
        <v>0</v>
      </c>
      <c r="R46" s="39">
        <f t="shared" si="4"/>
        <v>4.166666666666663E-2</v>
      </c>
      <c r="S46" s="39">
        <f t="shared" si="5"/>
        <v>4.166666666666663E-2</v>
      </c>
    </row>
    <row r="47" spans="1:19" s="19" customFormat="1" ht="15.95" customHeight="1">
      <c r="A47" s="41">
        <f>MAX($A$4:A46)+1</f>
        <v>43</v>
      </c>
      <c r="B47" s="42">
        <v>0.51249999999999918</v>
      </c>
      <c r="C47" s="42">
        <f t="shared" si="14"/>
        <v>0.55416666666666581</v>
      </c>
      <c r="D47" s="42">
        <f t="shared" si="6"/>
        <v>8.3333333333333037E-3</v>
      </c>
      <c r="E47" s="42">
        <f t="shared" si="7"/>
        <v>8.3333333333333037E-3</v>
      </c>
      <c r="F47" s="42">
        <v>0.50833333333333253</v>
      </c>
      <c r="G47" s="42">
        <f t="shared" si="15"/>
        <v>0.54999999999999916</v>
      </c>
      <c r="H47" s="16">
        <f t="shared" si="10"/>
        <v>2.2222222222222088E-2</v>
      </c>
      <c r="I47" s="16">
        <f t="shared" si="11"/>
        <v>1.5277777777777668E-2</v>
      </c>
      <c r="J47" s="15">
        <v>0.51249999999999918</v>
      </c>
      <c r="K47" s="15">
        <v>0.55416666666666581</v>
      </c>
      <c r="L47" s="15">
        <v>0.50833333333333253</v>
      </c>
      <c r="M47" s="45">
        <v>0.54999999999999916</v>
      </c>
      <c r="N47" s="16">
        <f t="shared" si="12"/>
        <v>0</v>
      </c>
      <c r="O47" s="16">
        <f t="shared" si="12"/>
        <v>0</v>
      </c>
      <c r="P47" s="16">
        <f t="shared" si="13"/>
        <v>0</v>
      </c>
      <c r="Q47" s="16">
        <f t="shared" si="13"/>
        <v>0</v>
      </c>
      <c r="R47" s="39">
        <f t="shared" si="4"/>
        <v>4.166666666666663E-2</v>
      </c>
      <c r="S47" s="39">
        <f t="shared" si="5"/>
        <v>4.166666666666663E-2</v>
      </c>
    </row>
    <row r="48" spans="1:19" s="19" customFormat="1" ht="15.95" customHeight="1">
      <c r="A48" s="41">
        <f>MAX($A$4:A47)+1</f>
        <v>44</v>
      </c>
      <c r="B48" s="42">
        <v>0.52083333333333248</v>
      </c>
      <c r="C48" s="42">
        <f t="shared" si="14"/>
        <v>0.56249999999999911</v>
      </c>
      <c r="D48" s="42">
        <f t="shared" si="6"/>
        <v>8.3333333333333037E-3</v>
      </c>
      <c r="E48" s="42">
        <f t="shared" si="7"/>
        <v>8.3333333333333037E-3</v>
      </c>
      <c r="F48" s="42">
        <v>0.51666666666666583</v>
      </c>
      <c r="G48" s="42">
        <f t="shared" si="15"/>
        <v>0.55833333333333246</v>
      </c>
      <c r="H48" s="16">
        <f t="shared" si="10"/>
        <v>2.3611111111110972E-2</v>
      </c>
      <c r="I48" s="16">
        <f t="shared" si="11"/>
        <v>1.6666666666666552E-2</v>
      </c>
      <c r="J48" s="15">
        <v>0.52083333333333248</v>
      </c>
      <c r="K48" s="15">
        <v>0.56249999999999911</v>
      </c>
      <c r="L48" s="15">
        <v>0.51666666666666583</v>
      </c>
      <c r="M48" s="45">
        <v>0.55833333333333246</v>
      </c>
      <c r="N48" s="16">
        <f t="shared" si="12"/>
        <v>0</v>
      </c>
      <c r="O48" s="16">
        <f t="shared" si="12"/>
        <v>0</v>
      </c>
      <c r="P48" s="16">
        <f t="shared" si="13"/>
        <v>0</v>
      </c>
      <c r="Q48" s="16">
        <f t="shared" si="13"/>
        <v>0</v>
      </c>
      <c r="R48" s="39">
        <f t="shared" si="4"/>
        <v>4.166666666666663E-2</v>
      </c>
      <c r="S48" s="39">
        <f t="shared" si="5"/>
        <v>4.166666666666663E-2</v>
      </c>
    </row>
    <row r="49" spans="1:19" s="19" customFormat="1" ht="15.95" customHeight="1">
      <c r="A49" s="41">
        <f>MAX($A$4:A48)+1</f>
        <v>45</v>
      </c>
      <c r="B49" s="42">
        <v>0.52916666666666579</v>
      </c>
      <c r="C49" s="42">
        <f t="shared" si="14"/>
        <v>0.57083333333333242</v>
      </c>
      <c r="D49" s="42">
        <f t="shared" si="6"/>
        <v>8.3333333333333037E-3</v>
      </c>
      <c r="E49" s="42">
        <f t="shared" si="7"/>
        <v>8.3333333333333037E-3</v>
      </c>
      <c r="F49" s="42">
        <v>0.52499999999999913</v>
      </c>
      <c r="G49" s="42">
        <f t="shared" si="15"/>
        <v>0.56666666666666576</v>
      </c>
      <c r="H49" s="16">
        <f t="shared" si="10"/>
        <v>2.4999999999999911E-2</v>
      </c>
      <c r="I49" s="16">
        <f t="shared" si="11"/>
        <v>1.8055555555555491E-2</v>
      </c>
      <c r="J49" s="15">
        <v>0.52916666666666579</v>
      </c>
      <c r="K49" s="15">
        <v>0.57083333333333242</v>
      </c>
      <c r="L49" s="15">
        <v>0.52499999999999913</v>
      </c>
      <c r="M49" s="45">
        <v>0.56666666666666576</v>
      </c>
      <c r="N49" s="16">
        <f t="shared" si="12"/>
        <v>0</v>
      </c>
      <c r="O49" s="16">
        <f t="shared" si="12"/>
        <v>0</v>
      </c>
      <c r="P49" s="16">
        <f t="shared" si="13"/>
        <v>0</v>
      </c>
      <c r="Q49" s="16">
        <f t="shared" si="13"/>
        <v>0</v>
      </c>
      <c r="R49" s="39">
        <f t="shared" si="4"/>
        <v>4.166666666666663E-2</v>
      </c>
      <c r="S49" s="39">
        <f t="shared" si="5"/>
        <v>4.166666666666663E-2</v>
      </c>
    </row>
    <row r="50" spans="1:19" s="19" customFormat="1" ht="15.95" customHeight="1">
      <c r="A50" s="41">
        <f>MAX($A$4:A49)+1</f>
        <v>46</v>
      </c>
      <c r="B50" s="42">
        <v>0.53749999999999909</v>
      </c>
      <c r="C50" s="42">
        <f t="shared" si="14"/>
        <v>0.57916666666666572</v>
      </c>
      <c r="D50" s="42">
        <f t="shared" si="6"/>
        <v>8.3333333333333037E-3</v>
      </c>
      <c r="E50" s="42">
        <f t="shared" si="7"/>
        <v>8.3333333333333037E-3</v>
      </c>
      <c r="F50" s="42">
        <v>0.53333333333333244</v>
      </c>
      <c r="G50" s="42">
        <f t="shared" si="15"/>
        <v>0.57499999999999907</v>
      </c>
      <c r="H50" s="16">
        <f t="shared" si="10"/>
        <v>2.6388888888888795E-2</v>
      </c>
      <c r="I50" s="16">
        <f t="shared" si="11"/>
        <v>1.9444444444444375E-2</v>
      </c>
      <c r="J50" s="15">
        <v>0.53749999999999909</v>
      </c>
      <c r="K50" s="15">
        <v>0.57916666666666572</v>
      </c>
      <c r="L50" s="15">
        <v>0.53333333333333244</v>
      </c>
      <c r="M50" s="45">
        <v>0.57499999999999907</v>
      </c>
      <c r="N50" s="16">
        <f t="shared" si="12"/>
        <v>0</v>
      </c>
      <c r="O50" s="16">
        <f t="shared" si="12"/>
        <v>0</v>
      </c>
      <c r="P50" s="16">
        <f t="shared" si="13"/>
        <v>0</v>
      </c>
      <c r="Q50" s="16">
        <f t="shared" si="13"/>
        <v>0</v>
      </c>
      <c r="R50" s="39">
        <f t="shared" si="4"/>
        <v>4.166666666666663E-2</v>
      </c>
      <c r="S50" s="39">
        <f t="shared" si="5"/>
        <v>4.166666666666663E-2</v>
      </c>
    </row>
    <row r="51" spans="1:19" s="19" customFormat="1" ht="15.95" customHeight="1">
      <c r="A51" s="41">
        <f>MAX($A$4:A50)+1</f>
        <v>47</v>
      </c>
      <c r="B51" s="42">
        <v>0.54583333333333239</v>
      </c>
      <c r="C51" s="42">
        <f t="shared" si="14"/>
        <v>0.58749999999999902</v>
      </c>
      <c r="D51" s="42">
        <f t="shared" si="6"/>
        <v>8.3333333333333037E-3</v>
      </c>
      <c r="E51" s="42">
        <f t="shared" si="7"/>
        <v>8.3333333333333037E-3</v>
      </c>
      <c r="F51" s="42">
        <v>0.54166666666666574</v>
      </c>
      <c r="G51" s="42">
        <f t="shared" si="15"/>
        <v>0.58333333333333237</v>
      </c>
      <c r="H51" s="16">
        <f t="shared" si="10"/>
        <v>2.7777777777777679E-2</v>
      </c>
      <c r="I51" s="16">
        <f t="shared" si="11"/>
        <v>2.0833333333333259E-2</v>
      </c>
      <c r="J51" s="15">
        <v>0.54583333333333239</v>
      </c>
      <c r="K51" s="15">
        <v>0.58749999999999902</v>
      </c>
      <c r="L51" s="15">
        <v>0.54166666666666574</v>
      </c>
      <c r="M51" s="45">
        <v>0.58333333333333237</v>
      </c>
      <c r="N51" s="16">
        <f t="shared" si="12"/>
        <v>0</v>
      </c>
      <c r="O51" s="16">
        <f t="shared" si="12"/>
        <v>0</v>
      </c>
      <c r="P51" s="16">
        <f t="shared" si="13"/>
        <v>0</v>
      </c>
      <c r="Q51" s="16">
        <f t="shared" si="13"/>
        <v>0</v>
      </c>
      <c r="R51" s="39">
        <f t="shared" si="4"/>
        <v>4.166666666666663E-2</v>
      </c>
      <c r="S51" s="39">
        <f t="shared" si="5"/>
        <v>4.166666666666663E-2</v>
      </c>
    </row>
    <row r="52" spans="1:19" s="19" customFormat="1" ht="15.95" customHeight="1">
      <c r="A52" s="41">
        <f>MAX($A$4:A51)+1</f>
        <v>48</v>
      </c>
      <c r="B52" s="42">
        <v>0.5541666666666657</v>
      </c>
      <c r="C52" s="42">
        <f t="shared" si="14"/>
        <v>0.59583333333333233</v>
      </c>
      <c r="D52" s="42">
        <f t="shared" si="6"/>
        <v>8.3333333333333037E-3</v>
      </c>
      <c r="E52" s="42">
        <f t="shared" si="7"/>
        <v>8.3333333333333037E-3</v>
      </c>
      <c r="F52" s="42">
        <v>0.54999999999999905</v>
      </c>
      <c r="G52" s="42">
        <f t="shared" si="15"/>
        <v>0.59166666666666567</v>
      </c>
      <c r="H52" s="16">
        <f t="shared" si="10"/>
        <v>2.9166666666666563E-2</v>
      </c>
      <c r="I52" s="16">
        <f t="shared" si="11"/>
        <v>2.0833333333333148E-2</v>
      </c>
      <c r="J52" s="15">
        <v>0.5541666666666657</v>
      </c>
      <c r="K52" s="15">
        <v>0.59583333333333233</v>
      </c>
      <c r="L52" s="15">
        <v>0.54999999999999905</v>
      </c>
      <c r="M52" s="45">
        <v>0.59166666666666567</v>
      </c>
      <c r="N52" s="16">
        <f t="shared" si="12"/>
        <v>0</v>
      </c>
      <c r="O52" s="16">
        <f t="shared" si="12"/>
        <v>0</v>
      </c>
      <c r="P52" s="16">
        <f t="shared" si="13"/>
        <v>0</v>
      </c>
      <c r="Q52" s="16">
        <f t="shared" si="13"/>
        <v>0</v>
      </c>
      <c r="R52" s="39">
        <f t="shared" si="4"/>
        <v>4.166666666666663E-2</v>
      </c>
      <c r="S52" s="39">
        <f t="shared" si="5"/>
        <v>4.166666666666663E-2</v>
      </c>
    </row>
    <row r="53" spans="1:19" s="19" customFormat="1" ht="15.95" customHeight="1">
      <c r="A53" s="41">
        <f>MAX($A$4:A52)+1</f>
        <v>49</v>
      </c>
      <c r="B53" s="42">
        <v>0.562499999999999</v>
      </c>
      <c r="C53" s="42">
        <f t="shared" si="14"/>
        <v>0.60416666666666563</v>
      </c>
      <c r="D53" s="42">
        <f t="shared" si="6"/>
        <v>8.3333333333333037E-3</v>
      </c>
      <c r="E53" s="42">
        <f t="shared" si="7"/>
        <v>8.3333333333333037E-3</v>
      </c>
      <c r="F53" s="42">
        <v>0.55833333333333235</v>
      </c>
      <c r="G53" s="42">
        <f t="shared" si="15"/>
        <v>0.59999999999999898</v>
      </c>
      <c r="H53" s="16">
        <f t="shared" si="10"/>
        <v>2.9166666666666452E-2</v>
      </c>
      <c r="I53" s="16">
        <f t="shared" si="11"/>
        <v>2.0833333333333148E-2</v>
      </c>
      <c r="J53" s="15">
        <v>0.562499999999999</v>
      </c>
      <c r="K53" s="15">
        <v>0.60416666666666563</v>
      </c>
      <c r="L53" s="15">
        <v>0.55833333333333235</v>
      </c>
      <c r="M53" s="45">
        <v>0.59999999999999898</v>
      </c>
      <c r="N53" s="16">
        <f t="shared" si="12"/>
        <v>0</v>
      </c>
      <c r="O53" s="16">
        <f t="shared" si="12"/>
        <v>0</v>
      </c>
      <c r="P53" s="16">
        <f t="shared" si="13"/>
        <v>0</v>
      </c>
      <c r="Q53" s="16">
        <f t="shared" si="13"/>
        <v>0</v>
      </c>
      <c r="R53" s="39">
        <f t="shared" si="4"/>
        <v>4.166666666666663E-2</v>
      </c>
      <c r="S53" s="39">
        <f t="shared" si="5"/>
        <v>4.166666666666663E-2</v>
      </c>
    </row>
    <row r="54" spans="1:19" s="19" customFormat="1" ht="15.95" customHeight="1">
      <c r="A54" s="41">
        <f>MAX($A$4:A53)+1</f>
        <v>50</v>
      </c>
      <c r="B54" s="42">
        <v>0.5708333333333323</v>
      </c>
      <c r="C54" s="42">
        <f t="shared" si="14"/>
        <v>0.61249999999999893</v>
      </c>
      <c r="D54" s="42">
        <f t="shared" si="6"/>
        <v>8.3333333333333037E-3</v>
      </c>
      <c r="E54" s="42">
        <f t="shared" si="7"/>
        <v>8.3333333333333037E-3</v>
      </c>
      <c r="F54" s="42">
        <v>0.56666666666666565</v>
      </c>
      <c r="G54" s="42">
        <f t="shared" si="15"/>
        <v>0.60833333333333228</v>
      </c>
      <c r="H54" s="16">
        <f t="shared" si="10"/>
        <v>2.9166666666666452E-2</v>
      </c>
      <c r="I54" s="16">
        <f t="shared" si="11"/>
        <v>2.0833333333333148E-2</v>
      </c>
      <c r="J54" s="15">
        <v>0.5708333333333323</v>
      </c>
      <c r="K54" s="15">
        <v>0.61249999999999893</v>
      </c>
      <c r="L54" s="15">
        <v>0.56666666666666565</v>
      </c>
      <c r="M54" s="45">
        <v>0.60833333333333228</v>
      </c>
      <c r="N54" s="16">
        <f t="shared" si="12"/>
        <v>0</v>
      </c>
      <c r="O54" s="16">
        <f t="shared" si="12"/>
        <v>0</v>
      </c>
      <c r="P54" s="16">
        <f t="shared" si="13"/>
        <v>0</v>
      </c>
      <c r="Q54" s="16">
        <f t="shared" si="13"/>
        <v>0</v>
      </c>
      <c r="R54" s="39">
        <f t="shared" si="4"/>
        <v>4.166666666666663E-2</v>
      </c>
      <c r="S54" s="39">
        <f t="shared" si="5"/>
        <v>4.166666666666663E-2</v>
      </c>
    </row>
    <row r="55" spans="1:19" s="19" customFormat="1" ht="15.95" customHeight="1">
      <c r="A55" s="41">
        <f>MAX($A$4:A54)+1</f>
        <v>51</v>
      </c>
      <c r="B55" s="42">
        <v>0.57916666666666561</v>
      </c>
      <c r="C55" s="42">
        <f t="shared" si="14"/>
        <v>0.62083333333333224</v>
      </c>
      <c r="D55" s="42">
        <f t="shared" si="6"/>
        <v>8.3333333333333037E-3</v>
      </c>
      <c r="E55" s="42">
        <f t="shared" si="7"/>
        <v>8.3333333333333037E-3</v>
      </c>
      <c r="F55" s="42">
        <v>0.57499999999999896</v>
      </c>
      <c r="G55" s="42">
        <f t="shared" si="15"/>
        <v>0.61666666666666559</v>
      </c>
      <c r="H55" s="16">
        <f t="shared" si="10"/>
        <v>2.9166666666666452E-2</v>
      </c>
      <c r="I55" s="16">
        <f t="shared" si="11"/>
        <v>2.0833333333333148E-2</v>
      </c>
      <c r="J55" s="15">
        <v>0.57916666666666561</v>
      </c>
      <c r="K55" s="15">
        <v>0.62083333333333224</v>
      </c>
      <c r="L55" s="15">
        <v>0.57499999999999896</v>
      </c>
      <c r="M55" s="45">
        <v>0.61666666666666559</v>
      </c>
      <c r="N55" s="16">
        <f t="shared" si="12"/>
        <v>0</v>
      </c>
      <c r="O55" s="16">
        <f t="shared" si="12"/>
        <v>0</v>
      </c>
      <c r="P55" s="16">
        <f t="shared" si="13"/>
        <v>0</v>
      </c>
      <c r="Q55" s="16">
        <f t="shared" si="13"/>
        <v>0</v>
      </c>
      <c r="R55" s="39">
        <f t="shared" ref="R55:R89" si="16">K55-J55</f>
        <v>4.166666666666663E-2</v>
      </c>
      <c r="S55" s="39">
        <f t="shared" ref="S55:S89" si="17">M55-L55</f>
        <v>4.166666666666663E-2</v>
      </c>
    </row>
    <row r="56" spans="1:19" s="19" customFormat="1" ht="15.95" customHeight="1">
      <c r="A56" s="41">
        <f>MAX($A$4:A55)+1</f>
        <v>52</v>
      </c>
      <c r="B56" s="42">
        <v>0.58749999999999891</v>
      </c>
      <c r="C56" s="42">
        <f t="shared" si="14"/>
        <v>0.62916666666666554</v>
      </c>
      <c r="D56" s="42">
        <f t="shared" si="6"/>
        <v>8.3333333333333037E-3</v>
      </c>
      <c r="E56" s="42">
        <f t="shared" si="7"/>
        <v>8.3333333333333037E-3</v>
      </c>
      <c r="F56" s="42">
        <v>0.58333333333333226</v>
      </c>
      <c r="G56" s="42">
        <f t="shared" si="15"/>
        <v>0.62499999999999889</v>
      </c>
      <c r="H56" s="16">
        <f t="shared" si="10"/>
        <v>2.9166666666666452E-2</v>
      </c>
      <c r="I56" s="16">
        <f t="shared" si="11"/>
        <v>2.0833333333333148E-2</v>
      </c>
      <c r="J56" s="15">
        <v>0.58749999999999891</v>
      </c>
      <c r="K56" s="15">
        <v>0.62916666666666554</v>
      </c>
      <c r="L56" s="15">
        <v>0.58333333333333226</v>
      </c>
      <c r="M56" s="45">
        <v>0.62499999999999889</v>
      </c>
      <c r="N56" s="16">
        <f t="shared" si="12"/>
        <v>0</v>
      </c>
      <c r="O56" s="16">
        <f t="shared" si="12"/>
        <v>0</v>
      </c>
      <c r="P56" s="16">
        <f t="shared" si="13"/>
        <v>0</v>
      </c>
      <c r="Q56" s="16">
        <f t="shared" si="13"/>
        <v>0</v>
      </c>
      <c r="R56" s="39">
        <f t="shared" si="16"/>
        <v>4.166666666666663E-2</v>
      </c>
      <c r="S56" s="39">
        <f t="shared" si="17"/>
        <v>4.166666666666663E-2</v>
      </c>
    </row>
    <row r="57" spans="1:19" s="19" customFormat="1" ht="15.95" customHeight="1">
      <c r="A57" s="41">
        <f>MAX($A$4:A56)+1</f>
        <v>53</v>
      </c>
      <c r="B57" s="42">
        <v>0.59583333333333222</v>
      </c>
      <c r="C57" s="42">
        <f t="shared" si="14"/>
        <v>0.63749999999999885</v>
      </c>
      <c r="D57" s="42">
        <f t="shared" si="6"/>
        <v>8.3333333333333037E-3</v>
      </c>
      <c r="E57" s="42">
        <f t="shared" si="7"/>
        <v>8.3333333333333037E-3</v>
      </c>
      <c r="F57" s="42">
        <v>0.59166666666666556</v>
      </c>
      <c r="G57" s="42">
        <f t="shared" si="15"/>
        <v>0.63333333333333219</v>
      </c>
      <c r="H57" s="16">
        <f t="shared" si="10"/>
        <v>2.9166666666666452E-2</v>
      </c>
      <c r="I57" s="16">
        <f t="shared" si="11"/>
        <v>2.0833333333333148E-2</v>
      </c>
      <c r="J57" s="15">
        <v>0.59583333333333222</v>
      </c>
      <c r="K57" s="15">
        <v>0.63749999999999885</v>
      </c>
      <c r="L57" s="15">
        <v>0.59166666666666556</v>
      </c>
      <c r="M57" s="45">
        <v>0.63333333333333219</v>
      </c>
      <c r="N57" s="16">
        <f t="shared" si="12"/>
        <v>0</v>
      </c>
      <c r="O57" s="16">
        <f t="shared" si="12"/>
        <v>0</v>
      </c>
      <c r="P57" s="16">
        <f t="shared" si="13"/>
        <v>0</v>
      </c>
      <c r="Q57" s="16">
        <f t="shared" si="13"/>
        <v>0</v>
      </c>
      <c r="R57" s="39">
        <f t="shared" si="16"/>
        <v>4.166666666666663E-2</v>
      </c>
      <c r="S57" s="39">
        <f t="shared" si="17"/>
        <v>4.166666666666663E-2</v>
      </c>
    </row>
    <row r="58" spans="1:19" s="19" customFormat="1" ht="15.95" customHeight="1">
      <c r="A58" s="41">
        <f>MAX($A$4:A57)+1</f>
        <v>54</v>
      </c>
      <c r="B58" s="42">
        <v>0.60416666666666552</v>
      </c>
      <c r="C58" s="42">
        <f t="shared" si="14"/>
        <v>0.64583333333333215</v>
      </c>
      <c r="D58" s="42">
        <f t="shared" si="6"/>
        <v>8.3333333333333037E-3</v>
      </c>
      <c r="E58" s="42">
        <f t="shared" si="7"/>
        <v>8.3333333333333037E-3</v>
      </c>
      <c r="F58" s="42">
        <v>0.59999999999999887</v>
      </c>
      <c r="G58" s="42">
        <f t="shared" si="15"/>
        <v>0.6416666666666655</v>
      </c>
      <c r="H58" s="16">
        <f t="shared" si="10"/>
        <v>2.9166666666666452E-2</v>
      </c>
      <c r="I58" s="16">
        <f t="shared" si="11"/>
        <v>2.0833333333333148E-2</v>
      </c>
      <c r="J58" s="15">
        <v>0.60416666666666552</v>
      </c>
      <c r="K58" s="15">
        <v>0.64583333333333215</v>
      </c>
      <c r="L58" s="15">
        <v>0.59999999999999887</v>
      </c>
      <c r="M58" s="45">
        <v>0.6416666666666655</v>
      </c>
      <c r="N58" s="16">
        <f t="shared" si="12"/>
        <v>0</v>
      </c>
      <c r="O58" s="16">
        <f t="shared" si="12"/>
        <v>0</v>
      </c>
      <c r="P58" s="16">
        <f t="shared" si="13"/>
        <v>0</v>
      </c>
      <c r="Q58" s="16">
        <f t="shared" si="13"/>
        <v>0</v>
      </c>
      <c r="R58" s="39">
        <f t="shared" si="16"/>
        <v>4.166666666666663E-2</v>
      </c>
      <c r="S58" s="39">
        <f t="shared" si="17"/>
        <v>4.166666666666663E-2</v>
      </c>
    </row>
    <row r="59" spans="1:19" s="19" customFormat="1" ht="15.95" customHeight="1">
      <c r="A59" s="41">
        <f>MAX($A$4:A58)+1</f>
        <v>55</v>
      </c>
      <c r="B59" s="42">
        <v>0.61111111111110994</v>
      </c>
      <c r="C59" s="42">
        <f t="shared" si="14"/>
        <v>0.65277777777777657</v>
      </c>
      <c r="D59" s="42">
        <f t="shared" si="6"/>
        <v>6.9444444444444198E-3</v>
      </c>
      <c r="E59" s="42">
        <f t="shared" si="7"/>
        <v>8.3333333333333037E-3</v>
      </c>
      <c r="F59" s="42">
        <v>0.60833333333333217</v>
      </c>
      <c r="G59" s="42">
        <f t="shared" si="15"/>
        <v>0.6499999999999988</v>
      </c>
      <c r="H59" s="16">
        <f t="shared" si="10"/>
        <v>2.7777777777777568E-2</v>
      </c>
      <c r="I59" s="16">
        <f t="shared" si="11"/>
        <v>2.0833333333333148E-2</v>
      </c>
      <c r="J59" s="15">
        <v>0.61111111111110994</v>
      </c>
      <c r="K59" s="15">
        <v>0.65277777777777657</v>
      </c>
      <c r="L59" s="15">
        <v>0.60833333333333217</v>
      </c>
      <c r="M59" s="45">
        <v>0.6499999999999988</v>
      </c>
      <c r="N59" s="16">
        <f t="shared" si="12"/>
        <v>0</v>
      </c>
      <c r="O59" s="16">
        <f t="shared" si="12"/>
        <v>0</v>
      </c>
      <c r="P59" s="16">
        <f t="shared" si="13"/>
        <v>0</v>
      </c>
      <c r="Q59" s="16">
        <f t="shared" si="13"/>
        <v>0</v>
      </c>
      <c r="R59" s="39">
        <f t="shared" si="16"/>
        <v>4.166666666666663E-2</v>
      </c>
      <c r="S59" s="39">
        <f t="shared" si="17"/>
        <v>4.166666666666663E-2</v>
      </c>
    </row>
    <row r="60" spans="1:19" s="19" customFormat="1" ht="15.95" customHeight="1">
      <c r="A60" s="41">
        <f>MAX($A$4:A59)+1</f>
        <v>56</v>
      </c>
      <c r="B60" s="42">
        <v>0.61805555555555436</v>
      </c>
      <c r="C60" s="42">
        <f t="shared" si="14"/>
        <v>0.65972222222222099</v>
      </c>
      <c r="D60" s="42">
        <f t="shared" si="6"/>
        <v>6.9444444444444198E-3</v>
      </c>
      <c r="E60" s="42">
        <f t="shared" si="7"/>
        <v>8.3333333333333037E-3</v>
      </c>
      <c r="F60" s="42">
        <v>0.61666666666666548</v>
      </c>
      <c r="G60" s="42">
        <f t="shared" si="15"/>
        <v>0.6583333333333321</v>
      </c>
      <c r="H60" s="16">
        <f t="shared" si="10"/>
        <v>2.6388888888888684E-2</v>
      </c>
      <c r="I60" s="16">
        <f t="shared" si="11"/>
        <v>2.0833333333333148E-2</v>
      </c>
      <c r="J60" s="15">
        <v>0.61805555555555436</v>
      </c>
      <c r="K60" s="15">
        <v>0.65972222222222099</v>
      </c>
      <c r="L60" s="15">
        <v>0.61666666666666548</v>
      </c>
      <c r="M60" s="45">
        <v>0.6583333333333321</v>
      </c>
      <c r="N60" s="16">
        <f t="shared" si="12"/>
        <v>0</v>
      </c>
      <c r="O60" s="16">
        <f t="shared" si="12"/>
        <v>0</v>
      </c>
      <c r="P60" s="16">
        <f t="shared" si="13"/>
        <v>0</v>
      </c>
      <c r="Q60" s="16">
        <f t="shared" si="13"/>
        <v>0</v>
      </c>
      <c r="R60" s="39">
        <f t="shared" si="16"/>
        <v>4.166666666666663E-2</v>
      </c>
      <c r="S60" s="39">
        <f t="shared" si="17"/>
        <v>4.166666666666663E-2</v>
      </c>
    </row>
    <row r="61" spans="1:19" s="19" customFormat="1" ht="15.95" customHeight="1">
      <c r="A61" s="41">
        <f>MAX($A$4:A60)+1</f>
        <v>57</v>
      </c>
      <c r="B61" s="42">
        <v>0.62499999999999878</v>
      </c>
      <c r="C61" s="42">
        <f t="shared" si="14"/>
        <v>0.66666666666666541</v>
      </c>
      <c r="D61" s="42">
        <f t="shared" si="6"/>
        <v>6.9444444444444198E-3</v>
      </c>
      <c r="E61" s="42">
        <f t="shared" si="7"/>
        <v>8.3333333333333037E-3</v>
      </c>
      <c r="F61" s="42">
        <v>0.62499999999999878</v>
      </c>
      <c r="G61" s="42">
        <f t="shared" si="15"/>
        <v>0.66666666666666541</v>
      </c>
      <c r="H61" s="16">
        <f t="shared" si="10"/>
        <v>2.49999999999998E-2</v>
      </c>
      <c r="I61" s="16">
        <f t="shared" si="11"/>
        <v>2.0833333333333148E-2</v>
      </c>
      <c r="J61" s="15">
        <v>0.62499999999999878</v>
      </c>
      <c r="K61" s="15">
        <v>0.66666666666666541</v>
      </c>
      <c r="L61" s="15">
        <v>0.62499999999999878</v>
      </c>
      <c r="M61" s="45">
        <v>0.66666666666666541</v>
      </c>
      <c r="N61" s="16">
        <f t="shared" si="12"/>
        <v>0</v>
      </c>
      <c r="O61" s="16">
        <f t="shared" si="12"/>
        <v>0</v>
      </c>
      <c r="P61" s="16">
        <f t="shared" si="13"/>
        <v>0</v>
      </c>
      <c r="Q61" s="16">
        <f t="shared" si="13"/>
        <v>0</v>
      </c>
      <c r="R61" s="39">
        <f t="shared" si="16"/>
        <v>4.166666666666663E-2</v>
      </c>
      <c r="S61" s="39">
        <f t="shared" si="17"/>
        <v>4.166666666666663E-2</v>
      </c>
    </row>
    <row r="62" spans="1:19" s="19" customFormat="1" ht="15.95" customHeight="1">
      <c r="A62" s="41">
        <f>MAX($A$4:A61)+1</f>
        <v>58</v>
      </c>
      <c r="B62" s="42">
        <v>0.6319444444444432</v>
      </c>
      <c r="C62" s="42">
        <f t="shared" si="14"/>
        <v>0.67361111111110983</v>
      </c>
      <c r="D62" s="42">
        <f t="shared" si="6"/>
        <v>6.9444444444444198E-3</v>
      </c>
      <c r="E62" s="42">
        <f t="shared" si="7"/>
        <v>6.9444444444444198E-3</v>
      </c>
      <c r="F62" s="42">
        <v>0.6319444444444432</v>
      </c>
      <c r="G62" s="42">
        <f t="shared" si="15"/>
        <v>0.67361111111110983</v>
      </c>
      <c r="H62" s="16">
        <f t="shared" si="10"/>
        <v>2.3611111111110916E-2</v>
      </c>
      <c r="I62" s="16">
        <f t="shared" si="11"/>
        <v>1.9444444444444264E-2</v>
      </c>
      <c r="J62" s="15">
        <v>0.6319444444444432</v>
      </c>
      <c r="K62" s="15">
        <v>0.67361111111110983</v>
      </c>
      <c r="L62" s="15">
        <v>0.6319444444444432</v>
      </c>
      <c r="M62" s="45">
        <v>0.67361111111110983</v>
      </c>
      <c r="N62" s="16">
        <f t="shared" si="12"/>
        <v>0</v>
      </c>
      <c r="O62" s="16">
        <f t="shared" si="12"/>
        <v>0</v>
      </c>
      <c r="P62" s="16">
        <f t="shared" si="13"/>
        <v>0</v>
      </c>
      <c r="Q62" s="16">
        <f t="shared" si="13"/>
        <v>0</v>
      </c>
      <c r="R62" s="39">
        <f t="shared" si="16"/>
        <v>4.166666666666663E-2</v>
      </c>
      <c r="S62" s="39">
        <f t="shared" si="17"/>
        <v>4.166666666666663E-2</v>
      </c>
    </row>
    <row r="63" spans="1:19" s="19" customFormat="1" ht="15.95" customHeight="1">
      <c r="A63" s="41">
        <f>MAX($A$4:A62)+1</f>
        <v>59</v>
      </c>
      <c r="B63" s="42">
        <v>0.63888888888888762</v>
      </c>
      <c r="C63" s="42">
        <f t="shared" si="14"/>
        <v>0.68055555555555425</v>
      </c>
      <c r="D63" s="42">
        <f t="shared" si="6"/>
        <v>6.9444444444444198E-3</v>
      </c>
      <c r="E63" s="42">
        <f t="shared" si="7"/>
        <v>6.9444444444444198E-3</v>
      </c>
      <c r="F63" s="42">
        <v>0.63888888888888762</v>
      </c>
      <c r="G63" s="42">
        <f t="shared" si="15"/>
        <v>0.68055555555555425</v>
      </c>
      <c r="H63" s="16">
        <f t="shared" si="10"/>
        <v>2.2222222222222032E-2</v>
      </c>
      <c r="I63" s="16">
        <f t="shared" si="11"/>
        <v>1.805555555555538E-2</v>
      </c>
      <c r="J63" s="15">
        <v>0.63888888888888762</v>
      </c>
      <c r="K63" s="15">
        <v>0.68055555555555425</v>
      </c>
      <c r="L63" s="15">
        <v>0.63888888888888762</v>
      </c>
      <c r="M63" s="45">
        <v>0.68055555555555425</v>
      </c>
      <c r="N63" s="16">
        <f t="shared" si="12"/>
        <v>0</v>
      </c>
      <c r="O63" s="16">
        <f t="shared" si="12"/>
        <v>0</v>
      </c>
      <c r="P63" s="16">
        <f t="shared" si="13"/>
        <v>0</v>
      </c>
      <c r="Q63" s="16">
        <f t="shared" si="13"/>
        <v>0</v>
      </c>
      <c r="R63" s="39">
        <f t="shared" si="16"/>
        <v>4.166666666666663E-2</v>
      </c>
      <c r="S63" s="39">
        <f t="shared" si="17"/>
        <v>4.166666666666663E-2</v>
      </c>
    </row>
    <row r="64" spans="1:19" s="19" customFormat="1" ht="15.95" customHeight="1">
      <c r="A64" s="41">
        <f>MAX($A$4:A63)+1</f>
        <v>60</v>
      </c>
      <c r="B64" s="42">
        <v>0.64583333333333204</v>
      </c>
      <c r="C64" s="42">
        <f t="shared" si="14"/>
        <v>0.68749999999999867</v>
      </c>
      <c r="D64" s="42">
        <f t="shared" si="6"/>
        <v>6.9444444444444198E-3</v>
      </c>
      <c r="E64" s="42">
        <f t="shared" si="7"/>
        <v>6.9444444444444198E-3</v>
      </c>
      <c r="F64" s="42">
        <v>0.64583333333333204</v>
      </c>
      <c r="G64" s="42">
        <f t="shared" si="15"/>
        <v>0.68749999999999867</v>
      </c>
      <c r="H64" s="16">
        <f t="shared" si="10"/>
        <v>2.0833333333333148E-2</v>
      </c>
      <c r="I64" s="16">
        <f t="shared" si="11"/>
        <v>1.6666666666666496E-2</v>
      </c>
      <c r="J64" s="15">
        <v>0.64583333333333204</v>
      </c>
      <c r="K64" s="15">
        <v>0.68749999999999867</v>
      </c>
      <c r="L64" s="15">
        <v>0.64583333333333204</v>
      </c>
      <c r="M64" s="45">
        <v>0.68749999999999867</v>
      </c>
      <c r="N64" s="16">
        <f t="shared" si="12"/>
        <v>0</v>
      </c>
      <c r="O64" s="16">
        <f t="shared" si="12"/>
        <v>0</v>
      </c>
      <c r="P64" s="16">
        <f t="shared" si="13"/>
        <v>0</v>
      </c>
      <c r="Q64" s="16">
        <f t="shared" si="13"/>
        <v>0</v>
      </c>
      <c r="R64" s="39">
        <f t="shared" si="16"/>
        <v>4.166666666666663E-2</v>
      </c>
      <c r="S64" s="39">
        <f t="shared" si="17"/>
        <v>4.166666666666663E-2</v>
      </c>
    </row>
    <row r="65" spans="1:19" s="19" customFormat="1" ht="15.95" customHeight="1">
      <c r="A65" s="41">
        <f>MAX($A$4:A64)+1</f>
        <v>61</v>
      </c>
      <c r="B65" s="42">
        <v>0.65277777777777646</v>
      </c>
      <c r="C65" s="42">
        <f t="shared" si="14"/>
        <v>0.69444444444444309</v>
      </c>
      <c r="D65" s="42">
        <f t="shared" si="6"/>
        <v>6.9444444444444198E-3</v>
      </c>
      <c r="E65" s="42">
        <f t="shared" si="7"/>
        <v>6.9444444444444198E-3</v>
      </c>
      <c r="F65" s="42">
        <v>0.65277777777777646</v>
      </c>
      <c r="G65" s="42">
        <f t="shared" si="15"/>
        <v>0.69444444444444309</v>
      </c>
      <c r="H65" s="16">
        <f t="shared" si="10"/>
        <v>1.9444444444444264E-2</v>
      </c>
      <c r="I65" s="16">
        <f t="shared" si="11"/>
        <v>1.5277777777777612E-2</v>
      </c>
      <c r="J65" s="15">
        <v>0.65277777777777646</v>
      </c>
      <c r="K65" s="15">
        <v>0.69444444444444309</v>
      </c>
      <c r="L65" s="15">
        <v>0.65277777777777646</v>
      </c>
      <c r="M65" s="45">
        <v>0.69444444444444309</v>
      </c>
      <c r="N65" s="16">
        <f t="shared" si="12"/>
        <v>0</v>
      </c>
      <c r="O65" s="16">
        <f t="shared" si="12"/>
        <v>0</v>
      </c>
      <c r="P65" s="16">
        <f t="shared" si="13"/>
        <v>0</v>
      </c>
      <c r="Q65" s="16">
        <f t="shared" si="13"/>
        <v>0</v>
      </c>
      <c r="R65" s="39">
        <f t="shared" si="16"/>
        <v>4.166666666666663E-2</v>
      </c>
      <c r="S65" s="39">
        <f t="shared" si="17"/>
        <v>4.166666666666663E-2</v>
      </c>
    </row>
    <row r="66" spans="1:19" s="19" customFormat="1" ht="15.95" customHeight="1">
      <c r="A66" s="41">
        <f>MAX($A$4:A65)+1</f>
        <v>62</v>
      </c>
      <c r="B66" s="42">
        <v>0.65972222222222088</v>
      </c>
      <c r="C66" s="42">
        <f t="shared" si="14"/>
        <v>0.70138888888888751</v>
      </c>
      <c r="D66" s="42">
        <f t="shared" si="6"/>
        <v>6.9444444444444198E-3</v>
      </c>
      <c r="E66" s="42">
        <f t="shared" si="7"/>
        <v>6.9444444444444198E-3</v>
      </c>
      <c r="F66" s="42">
        <v>0.65972222222222088</v>
      </c>
      <c r="G66" s="42">
        <f t="shared" si="15"/>
        <v>0.70138888888888751</v>
      </c>
      <c r="H66" s="16">
        <f t="shared" si="10"/>
        <v>1.805555555555538E-2</v>
      </c>
      <c r="I66" s="16">
        <f t="shared" si="11"/>
        <v>1.3888888888888729E-2</v>
      </c>
      <c r="J66" s="15">
        <v>0.65972222222222088</v>
      </c>
      <c r="K66" s="15">
        <v>0.70138888888888751</v>
      </c>
      <c r="L66" s="15">
        <v>0.65972222222222088</v>
      </c>
      <c r="M66" s="45">
        <v>0.70138888888888751</v>
      </c>
      <c r="N66" s="16">
        <f t="shared" si="12"/>
        <v>0</v>
      </c>
      <c r="O66" s="16">
        <f t="shared" si="12"/>
        <v>0</v>
      </c>
      <c r="P66" s="16">
        <f t="shared" si="13"/>
        <v>0</v>
      </c>
      <c r="Q66" s="16">
        <f t="shared" si="13"/>
        <v>0</v>
      </c>
      <c r="R66" s="39">
        <f t="shared" si="16"/>
        <v>4.166666666666663E-2</v>
      </c>
      <c r="S66" s="39">
        <f t="shared" si="17"/>
        <v>4.166666666666663E-2</v>
      </c>
    </row>
    <row r="67" spans="1:19" s="19" customFormat="1" ht="15.95" customHeight="1">
      <c r="A67" s="41">
        <f>MAX($A$4:A66)+1</f>
        <v>63</v>
      </c>
      <c r="B67" s="42">
        <v>0.6666666666666653</v>
      </c>
      <c r="C67" s="42">
        <f t="shared" si="14"/>
        <v>0.70833333333333193</v>
      </c>
      <c r="D67" s="42">
        <f t="shared" si="6"/>
        <v>6.9444444444444198E-3</v>
      </c>
      <c r="E67" s="42">
        <f t="shared" si="7"/>
        <v>6.9444444444444198E-3</v>
      </c>
      <c r="F67" s="42">
        <v>0.6666666666666653</v>
      </c>
      <c r="G67" s="42">
        <f t="shared" si="15"/>
        <v>0.70833333333333193</v>
      </c>
      <c r="H67" s="16">
        <f t="shared" si="10"/>
        <v>1.6666666666666496E-2</v>
      </c>
      <c r="I67" s="16">
        <f t="shared" si="11"/>
        <v>1.3888888888888729E-2</v>
      </c>
      <c r="J67" s="15">
        <v>0.6666666666666653</v>
      </c>
      <c r="K67" s="15">
        <v>0.70833333333333193</v>
      </c>
      <c r="L67" s="15">
        <v>0.6666666666666653</v>
      </c>
      <c r="M67" s="45">
        <v>0.70833333333333193</v>
      </c>
      <c r="N67" s="16">
        <f t="shared" si="12"/>
        <v>0</v>
      </c>
      <c r="O67" s="16">
        <f t="shared" si="12"/>
        <v>0</v>
      </c>
      <c r="P67" s="16">
        <f t="shared" si="13"/>
        <v>0</v>
      </c>
      <c r="Q67" s="16">
        <f t="shared" si="13"/>
        <v>0</v>
      </c>
      <c r="R67" s="39">
        <f t="shared" si="16"/>
        <v>4.166666666666663E-2</v>
      </c>
      <c r="S67" s="39">
        <f t="shared" si="17"/>
        <v>4.166666666666663E-2</v>
      </c>
    </row>
    <row r="68" spans="1:19" s="19" customFormat="1" ht="15.95" customHeight="1">
      <c r="A68" s="41">
        <f>MAX($A$4:A67)+1</f>
        <v>64</v>
      </c>
      <c r="B68" s="42">
        <v>0.67361111111110972</v>
      </c>
      <c r="C68" s="42">
        <f t="shared" si="14"/>
        <v>0.71527777777777635</v>
      </c>
      <c r="D68" s="42">
        <f t="shared" si="6"/>
        <v>6.9444444444444198E-3</v>
      </c>
      <c r="E68" s="42">
        <f t="shared" si="7"/>
        <v>6.9444444444444198E-3</v>
      </c>
      <c r="F68" s="42">
        <v>0.67361111111110972</v>
      </c>
      <c r="G68" s="42">
        <f t="shared" si="15"/>
        <v>0.71527777777777635</v>
      </c>
      <c r="H68" s="16">
        <f t="shared" si="10"/>
        <v>1.5277777777777612E-2</v>
      </c>
      <c r="I68" s="16">
        <f t="shared" si="11"/>
        <v>1.3888888888888729E-2</v>
      </c>
      <c r="J68" s="15">
        <v>0.67361111111110972</v>
      </c>
      <c r="K68" s="15">
        <v>0.71527777777777635</v>
      </c>
      <c r="L68" s="15">
        <v>0.67361111111110972</v>
      </c>
      <c r="M68" s="45">
        <v>0.71527777777777635</v>
      </c>
      <c r="N68" s="16">
        <f t="shared" si="12"/>
        <v>0</v>
      </c>
      <c r="O68" s="16">
        <f t="shared" si="12"/>
        <v>0</v>
      </c>
      <c r="P68" s="16">
        <f t="shared" si="13"/>
        <v>0</v>
      </c>
      <c r="Q68" s="16">
        <f t="shared" si="13"/>
        <v>0</v>
      </c>
      <c r="R68" s="39">
        <f t="shared" si="16"/>
        <v>4.166666666666663E-2</v>
      </c>
      <c r="S68" s="39">
        <f t="shared" si="17"/>
        <v>4.166666666666663E-2</v>
      </c>
    </row>
    <row r="69" spans="1:19" s="19" customFormat="1" ht="15.95" customHeight="1">
      <c r="A69" s="41">
        <f>MAX($A$4:A68)+1</f>
        <v>65</v>
      </c>
      <c r="B69" s="42">
        <v>0.68055555555555414</v>
      </c>
      <c r="C69" s="42">
        <f t="shared" si="14"/>
        <v>0.72222222222222077</v>
      </c>
      <c r="D69" s="42">
        <f t="shared" si="6"/>
        <v>6.9444444444444198E-3</v>
      </c>
      <c r="E69" s="42">
        <f t="shared" si="7"/>
        <v>6.9444444444444198E-3</v>
      </c>
      <c r="F69" s="42">
        <v>0.68055555555555414</v>
      </c>
      <c r="G69" s="42">
        <f t="shared" si="15"/>
        <v>0.72222222222222077</v>
      </c>
      <c r="H69" s="16">
        <f t="shared" si="10"/>
        <v>1.3888888888888729E-2</v>
      </c>
      <c r="I69" s="16">
        <f t="shared" si="11"/>
        <v>1.3888888888888729E-2</v>
      </c>
      <c r="J69" s="15">
        <v>0.68055555555555414</v>
      </c>
      <c r="K69" s="15">
        <v>0.72222222222222077</v>
      </c>
      <c r="L69" s="15">
        <v>0.68055555555555414</v>
      </c>
      <c r="M69" s="45">
        <v>0.72222222222222077</v>
      </c>
      <c r="N69" s="16">
        <f t="shared" si="12"/>
        <v>0</v>
      </c>
      <c r="O69" s="16">
        <f t="shared" si="12"/>
        <v>0</v>
      </c>
      <c r="P69" s="16">
        <f t="shared" si="13"/>
        <v>0</v>
      </c>
      <c r="Q69" s="16">
        <f t="shared" si="13"/>
        <v>0</v>
      </c>
      <c r="R69" s="39">
        <f t="shared" si="16"/>
        <v>4.166666666666663E-2</v>
      </c>
      <c r="S69" s="39">
        <f t="shared" si="17"/>
        <v>4.166666666666663E-2</v>
      </c>
    </row>
    <row r="70" spans="1:19" s="19" customFormat="1" ht="15.95" customHeight="1">
      <c r="A70" s="41">
        <f>MAX($A$4:A69)+1</f>
        <v>66</v>
      </c>
      <c r="B70" s="42">
        <v>0.68749999999999856</v>
      </c>
      <c r="C70" s="42">
        <f t="shared" si="14"/>
        <v>0.72916666666666519</v>
      </c>
      <c r="D70" s="42">
        <f t="shared" si="6"/>
        <v>6.9444444444444198E-3</v>
      </c>
      <c r="E70" s="42">
        <f t="shared" si="7"/>
        <v>6.9444444444444198E-3</v>
      </c>
      <c r="F70" s="42">
        <v>0.68749999999999856</v>
      </c>
      <c r="G70" s="42">
        <f t="shared" si="15"/>
        <v>0.72916666666666519</v>
      </c>
      <c r="H70" s="16">
        <f t="shared" si="10"/>
        <v>1.3888888888888729E-2</v>
      </c>
      <c r="I70" s="16">
        <f t="shared" si="11"/>
        <v>1.3888888888888729E-2</v>
      </c>
      <c r="J70" s="15">
        <v>0.68749999999999856</v>
      </c>
      <c r="K70" s="15">
        <v>0.72916666666666519</v>
      </c>
      <c r="L70" s="15">
        <v>0.68749999999999856</v>
      </c>
      <c r="M70" s="45">
        <v>0.72916666666666519</v>
      </c>
      <c r="N70" s="16">
        <f t="shared" si="12"/>
        <v>0</v>
      </c>
      <c r="O70" s="16">
        <f t="shared" si="12"/>
        <v>0</v>
      </c>
      <c r="P70" s="16">
        <f t="shared" si="13"/>
        <v>0</v>
      </c>
      <c r="Q70" s="16">
        <f t="shared" si="13"/>
        <v>0</v>
      </c>
      <c r="R70" s="39">
        <f t="shared" si="16"/>
        <v>4.166666666666663E-2</v>
      </c>
      <c r="S70" s="39">
        <f t="shared" si="17"/>
        <v>4.166666666666663E-2</v>
      </c>
    </row>
    <row r="71" spans="1:19" s="19" customFormat="1" ht="15.95" customHeight="1">
      <c r="A71" s="41">
        <f>MAX($A$4:A70)+1</f>
        <v>67</v>
      </c>
      <c r="B71" s="42">
        <v>0.69444444444444298</v>
      </c>
      <c r="C71" s="42">
        <f t="shared" ref="C71:C72" si="18">B71+$H$3</f>
        <v>0.73611111111110961</v>
      </c>
      <c r="D71" s="42">
        <f t="shared" ref="D71:D89" si="19">B71-B70</f>
        <v>6.9444444444444198E-3</v>
      </c>
      <c r="E71" s="42">
        <f t="shared" ref="E71:E89" si="20">F71-F70</f>
        <v>6.9444444444444198E-3</v>
      </c>
      <c r="F71" s="42">
        <v>0.69444444444444298</v>
      </c>
      <c r="G71" s="42">
        <f t="shared" ref="G71:G72" si="21">F71+$H$3</f>
        <v>0.73611111111110961</v>
      </c>
      <c r="H71" s="16">
        <f t="shared" si="10"/>
        <v>1.3888888888888729E-2</v>
      </c>
      <c r="I71" s="16">
        <f t="shared" si="11"/>
        <v>1.3888888888888729E-2</v>
      </c>
      <c r="J71" s="15">
        <v>0.69444444444444298</v>
      </c>
      <c r="K71" s="15">
        <v>0.73611111111110961</v>
      </c>
      <c r="L71" s="15">
        <v>0.69444444444444298</v>
      </c>
      <c r="M71" s="45">
        <v>0.73611111111110961</v>
      </c>
      <c r="N71" s="16">
        <f t="shared" si="12"/>
        <v>0</v>
      </c>
      <c r="O71" s="16">
        <f t="shared" si="12"/>
        <v>0</v>
      </c>
      <c r="P71" s="16">
        <f t="shared" si="13"/>
        <v>0</v>
      </c>
      <c r="Q71" s="16">
        <f t="shared" si="13"/>
        <v>0</v>
      </c>
      <c r="R71" s="39">
        <f t="shared" si="16"/>
        <v>4.166666666666663E-2</v>
      </c>
      <c r="S71" s="39">
        <f t="shared" si="17"/>
        <v>4.166666666666663E-2</v>
      </c>
    </row>
    <row r="72" spans="1:19" s="19" customFormat="1" ht="15.95" customHeight="1">
      <c r="A72" s="41">
        <f>MAX($A$4:A71)+1</f>
        <v>68</v>
      </c>
      <c r="B72" s="42">
        <v>0.7013888888888874</v>
      </c>
      <c r="C72" s="42">
        <f t="shared" si="18"/>
        <v>0.74305555555555403</v>
      </c>
      <c r="D72" s="42">
        <f t="shared" si="19"/>
        <v>6.9444444444444198E-3</v>
      </c>
      <c r="E72" s="42">
        <f t="shared" si="20"/>
        <v>6.9444444444444198E-3</v>
      </c>
      <c r="F72" s="42">
        <v>0.7013888888888874</v>
      </c>
      <c r="G72" s="42">
        <f t="shared" si="21"/>
        <v>0.74305555555555403</v>
      </c>
      <c r="H72" s="16">
        <f t="shared" si="10"/>
        <v>1.3888888888888729E-2</v>
      </c>
      <c r="I72" s="16">
        <f t="shared" si="11"/>
        <v>1.3888888888888729E-2</v>
      </c>
      <c r="J72" s="15">
        <v>0.7013888888888874</v>
      </c>
      <c r="K72" s="15">
        <v>0.74305555555555403</v>
      </c>
      <c r="L72" s="15">
        <v>0.7013888888888874</v>
      </c>
      <c r="M72" s="45">
        <v>0.74305555555555403</v>
      </c>
      <c r="N72" s="16">
        <f t="shared" si="12"/>
        <v>0</v>
      </c>
      <c r="O72" s="16">
        <f t="shared" si="12"/>
        <v>0</v>
      </c>
      <c r="P72" s="16">
        <f t="shared" si="13"/>
        <v>0</v>
      </c>
      <c r="Q72" s="16">
        <f t="shared" si="13"/>
        <v>0</v>
      </c>
      <c r="R72" s="39">
        <f t="shared" si="16"/>
        <v>4.166666666666663E-2</v>
      </c>
      <c r="S72" s="39">
        <f t="shared" si="17"/>
        <v>4.166666666666663E-2</v>
      </c>
    </row>
    <row r="73" spans="1:19" s="19" customFormat="1" ht="15.95" customHeight="1">
      <c r="A73" s="41">
        <f>MAX($A$4:A72)+1</f>
        <v>69</v>
      </c>
      <c r="B73" s="42">
        <v>0.70833333333333182</v>
      </c>
      <c r="C73" s="42">
        <f>B73+$H$4</f>
        <v>0.75694444444444298</v>
      </c>
      <c r="D73" s="42">
        <f t="shared" si="19"/>
        <v>6.9444444444444198E-3</v>
      </c>
      <c r="E73" s="42">
        <f t="shared" si="20"/>
        <v>6.9444444444444198E-3</v>
      </c>
      <c r="F73" s="42">
        <v>0.70833333333333182</v>
      </c>
      <c r="G73" s="42">
        <f>F73+$H$4</f>
        <v>0.75694444444444298</v>
      </c>
      <c r="H73" s="16">
        <f t="shared" si="10"/>
        <v>1.3888888888888729E-2</v>
      </c>
      <c r="I73" s="16">
        <f t="shared" si="11"/>
        <v>1.3888888888888729E-2</v>
      </c>
      <c r="J73" s="15">
        <v>0.70833333333333182</v>
      </c>
      <c r="K73" s="15">
        <v>0.75694444444444298</v>
      </c>
      <c r="L73" s="15">
        <v>0.70833333333333182</v>
      </c>
      <c r="M73" s="45">
        <v>0.75694444444444298</v>
      </c>
      <c r="N73" s="16">
        <f t="shared" si="12"/>
        <v>0</v>
      </c>
      <c r="O73" s="16">
        <f t="shared" si="12"/>
        <v>0</v>
      </c>
      <c r="P73" s="16">
        <f t="shared" si="13"/>
        <v>0</v>
      </c>
      <c r="Q73" s="16">
        <f t="shared" si="13"/>
        <v>0</v>
      </c>
      <c r="R73" s="39">
        <f t="shared" si="16"/>
        <v>4.861111111111116E-2</v>
      </c>
      <c r="S73" s="39">
        <f t="shared" si="17"/>
        <v>4.861111111111116E-2</v>
      </c>
    </row>
    <row r="74" spans="1:19" s="19" customFormat="1" ht="15.95" customHeight="1">
      <c r="A74" s="41">
        <f>MAX($A$4:A73)+1</f>
        <v>70</v>
      </c>
      <c r="B74" s="42">
        <v>0.71527777777777624</v>
      </c>
      <c r="C74" s="42">
        <f>B74+$H$4</f>
        <v>0.7638888888888874</v>
      </c>
      <c r="D74" s="42">
        <f t="shared" si="19"/>
        <v>6.9444444444444198E-3</v>
      </c>
      <c r="E74" s="42">
        <f t="shared" si="20"/>
        <v>6.9444444444444198E-3</v>
      </c>
      <c r="F74" s="42">
        <v>0.71527777777777624</v>
      </c>
      <c r="G74" s="42">
        <f>F74+$H$4</f>
        <v>0.7638888888888874</v>
      </c>
      <c r="H74" s="16">
        <f t="shared" si="10"/>
        <v>1.3888888888888729E-2</v>
      </c>
      <c r="I74" s="16">
        <f t="shared" si="11"/>
        <v>1.3888888888888729E-2</v>
      </c>
      <c r="J74" s="15">
        <v>0.71527777777777624</v>
      </c>
      <c r="K74" s="15">
        <v>0.7638888888888874</v>
      </c>
      <c r="L74" s="15">
        <v>0.71527777777777624</v>
      </c>
      <c r="M74" s="45">
        <v>0.7638888888888874</v>
      </c>
      <c r="N74" s="16">
        <f t="shared" ref="N74:O89" si="22">J74-B74</f>
        <v>0</v>
      </c>
      <c r="O74" s="16">
        <f t="shared" si="22"/>
        <v>0</v>
      </c>
      <c r="P74" s="16">
        <f t="shared" ref="P74:Q89" si="23">L74-F74</f>
        <v>0</v>
      </c>
      <c r="Q74" s="16">
        <f t="shared" si="23"/>
        <v>0</v>
      </c>
      <c r="R74" s="39">
        <f t="shared" si="16"/>
        <v>4.861111111111116E-2</v>
      </c>
      <c r="S74" s="39">
        <f t="shared" si="17"/>
        <v>4.861111111111116E-2</v>
      </c>
    </row>
    <row r="75" spans="1:19" s="19" customFormat="1" ht="15.95" customHeight="1">
      <c r="A75" s="41">
        <f>MAX($A$4:A74)+1</f>
        <v>71</v>
      </c>
      <c r="B75" s="42">
        <v>0.72222222222222066</v>
      </c>
      <c r="C75" s="42">
        <f>B75+$H$4</f>
        <v>0.77083333333333182</v>
      </c>
      <c r="D75" s="42">
        <f t="shared" si="19"/>
        <v>6.9444444444444198E-3</v>
      </c>
      <c r="E75" s="42">
        <f t="shared" si="20"/>
        <v>6.9444444444444198E-3</v>
      </c>
      <c r="F75" s="42">
        <v>0.72222222222222066</v>
      </c>
      <c r="G75" s="42">
        <f>F75+$H$4</f>
        <v>0.77083333333333182</v>
      </c>
      <c r="H75" s="16">
        <f t="shared" si="10"/>
        <v>1.3888888888888729E-2</v>
      </c>
      <c r="I75" s="16">
        <f t="shared" si="11"/>
        <v>1.3888888888888729E-2</v>
      </c>
      <c r="J75" s="15">
        <v>0.72222222222222066</v>
      </c>
      <c r="K75" s="15">
        <v>0.77083333333333182</v>
      </c>
      <c r="L75" s="15">
        <v>0.72222222222222066</v>
      </c>
      <c r="M75" s="45">
        <v>0.77083333333333182</v>
      </c>
      <c r="N75" s="16">
        <f t="shared" si="22"/>
        <v>0</v>
      </c>
      <c r="O75" s="16">
        <f t="shared" si="22"/>
        <v>0</v>
      </c>
      <c r="P75" s="16">
        <f t="shared" si="23"/>
        <v>0</v>
      </c>
      <c r="Q75" s="16">
        <f t="shared" si="23"/>
        <v>0</v>
      </c>
      <c r="R75" s="39">
        <f t="shared" si="16"/>
        <v>4.861111111111116E-2</v>
      </c>
      <c r="S75" s="39">
        <f t="shared" si="17"/>
        <v>4.861111111111116E-2</v>
      </c>
    </row>
    <row r="76" spans="1:19" s="19" customFormat="1" ht="15.95" customHeight="1">
      <c r="A76" s="41">
        <f>MAX($A$4:A75)+1</f>
        <v>72</v>
      </c>
      <c r="B76" s="42">
        <v>0.72916666666666508</v>
      </c>
      <c r="C76" s="42">
        <f>B76+$H$4</f>
        <v>0.77777777777777624</v>
      </c>
      <c r="D76" s="42">
        <f t="shared" si="19"/>
        <v>6.9444444444444198E-3</v>
      </c>
      <c r="E76" s="42">
        <f t="shared" si="20"/>
        <v>6.9444444444444198E-3</v>
      </c>
      <c r="F76" s="42">
        <v>0.72916666666666508</v>
      </c>
      <c r="G76" s="42">
        <f>F76+$H$4</f>
        <v>0.77777777777777624</v>
      </c>
      <c r="H76" s="16">
        <f t="shared" si="10"/>
        <v>1.3888888888888729E-2</v>
      </c>
      <c r="I76" s="16">
        <f t="shared" si="11"/>
        <v>1.3888888888888729E-2</v>
      </c>
      <c r="J76" s="15">
        <v>0.72916666666666508</v>
      </c>
      <c r="K76" s="15">
        <v>0.77777777777777624</v>
      </c>
      <c r="L76" s="15">
        <v>0.72916666666666508</v>
      </c>
      <c r="M76" s="45">
        <v>0.77777777777777624</v>
      </c>
      <c r="N76" s="16">
        <f t="shared" si="22"/>
        <v>0</v>
      </c>
      <c r="O76" s="16">
        <f t="shared" si="22"/>
        <v>0</v>
      </c>
      <c r="P76" s="16">
        <f t="shared" si="23"/>
        <v>0</v>
      </c>
      <c r="Q76" s="16">
        <f t="shared" si="23"/>
        <v>0</v>
      </c>
      <c r="R76" s="39">
        <f t="shared" si="16"/>
        <v>4.861111111111116E-2</v>
      </c>
      <c r="S76" s="39">
        <f t="shared" si="17"/>
        <v>4.861111111111116E-2</v>
      </c>
    </row>
    <row r="77" spans="1:19" s="19" customFormat="1" ht="15.95" customHeight="1">
      <c r="A77" s="41">
        <f>MAX($A$4:A76)+1</f>
        <v>73</v>
      </c>
      <c r="B77" s="42">
        <v>0.7361111111111095</v>
      </c>
      <c r="C77" s="42">
        <f t="shared" ref="C77:C81" si="24">B77+$H$4</f>
        <v>0.78472222222222066</v>
      </c>
      <c r="D77" s="42">
        <f t="shared" si="19"/>
        <v>6.9444444444444198E-3</v>
      </c>
      <c r="E77" s="42">
        <f t="shared" si="20"/>
        <v>6.9444444444444198E-3</v>
      </c>
      <c r="F77" s="42">
        <v>0.7361111111111095</v>
      </c>
      <c r="G77" s="42">
        <f t="shared" ref="G77:G81" si="25">F77+$H$4</f>
        <v>0.78472222222222066</v>
      </c>
      <c r="H77" s="16">
        <f t="shared" si="10"/>
        <v>1.3888888888888729E-2</v>
      </c>
      <c r="I77" s="16">
        <f t="shared" si="11"/>
        <v>1.3888888888888729E-2</v>
      </c>
      <c r="J77" s="15">
        <v>0.7361111111111095</v>
      </c>
      <c r="K77" s="15">
        <v>0.78472222222222066</v>
      </c>
      <c r="L77" s="15">
        <v>0.7361111111111095</v>
      </c>
      <c r="M77" s="45">
        <v>0.78472222222222066</v>
      </c>
      <c r="N77" s="16">
        <f t="shared" si="22"/>
        <v>0</v>
      </c>
      <c r="O77" s="16">
        <f t="shared" si="22"/>
        <v>0</v>
      </c>
      <c r="P77" s="16">
        <f t="shared" si="23"/>
        <v>0</v>
      </c>
      <c r="Q77" s="16">
        <f t="shared" si="23"/>
        <v>0</v>
      </c>
      <c r="R77" s="39">
        <f t="shared" si="16"/>
        <v>4.861111111111116E-2</v>
      </c>
      <c r="S77" s="39">
        <f t="shared" si="17"/>
        <v>4.861111111111116E-2</v>
      </c>
    </row>
    <row r="78" spans="1:19" s="19" customFormat="1" ht="15.95" customHeight="1">
      <c r="A78" s="41">
        <f>MAX($A$4:A77)+1</f>
        <v>74</v>
      </c>
      <c r="B78" s="42">
        <v>0.74305555555555391</v>
      </c>
      <c r="C78" s="42">
        <f t="shared" si="24"/>
        <v>0.79166666666666508</v>
      </c>
      <c r="D78" s="42">
        <f t="shared" si="19"/>
        <v>6.9444444444444198E-3</v>
      </c>
      <c r="E78" s="42">
        <f t="shared" si="20"/>
        <v>6.9444444444444198E-3</v>
      </c>
      <c r="F78" s="42">
        <v>0.74305555555555391</v>
      </c>
      <c r="G78" s="42">
        <f t="shared" si="25"/>
        <v>0.79166666666666508</v>
      </c>
      <c r="H78" s="16">
        <f t="shared" ref="H78:H89" si="26">B78-G70</f>
        <v>1.3888888888888729E-2</v>
      </c>
      <c r="I78" s="16">
        <f t="shared" ref="I78:I89" si="27">F78-C70</f>
        <v>1.3888888888888729E-2</v>
      </c>
      <c r="J78" s="15">
        <v>0.74305555555555391</v>
      </c>
      <c r="K78" s="15">
        <v>0.79166666666666508</v>
      </c>
      <c r="L78" s="15">
        <v>0.74305555555555391</v>
      </c>
      <c r="M78" s="45">
        <v>0.79166666666666508</v>
      </c>
      <c r="N78" s="16">
        <f t="shared" si="22"/>
        <v>0</v>
      </c>
      <c r="O78" s="16">
        <f t="shared" si="22"/>
        <v>0</v>
      </c>
      <c r="P78" s="16">
        <f t="shared" si="23"/>
        <v>0</v>
      </c>
      <c r="Q78" s="16">
        <f t="shared" si="23"/>
        <v>0</v>
      </c>
      <c r="R78" s="39">
        <f t="shared" si="16"/>
        <v>4.861111111111116E-2</v>
      </c>
      <c r="S78" s="39">
        <f t="shared" si="17"/>
        <v>4.861111111111116E-2</v>
      </c>
    </row>
    <row r="79" spans="1:19" s="19" customFormat="1" ht="15.95" customHeight="1">
      <c r="A79" s="41">
        <f>MAX($A$4:A78)+1</f>
        <v>75</v>
      </c>
      <c r="B79" s="42">
        <v>0.74999999999999833</v>
      </c>
      <c r="C79" s="42">
        <f t="shared" si="24"/>
        <v>0.7986111111111095</v>
      </c>
      <c r="D79" s="42">
        <f t="shared" si="19"/>
        <v>6.9444444444444198E-3</v>
      </c>
      <c r="E79" s="42">
        <f t="shared" si="20"/>
        <v>6.9444444444444198E-3</v>
      </c>
      <c r="F79" s="42">
        <v>0.74999999999999833</v>
      </c>
      <c r="G79" s="42">
        <f t="shared" si="25"/>
        <v>0.7986111111111095</v>
      </c>
      <c r="H79" s="16">
        <f t="shared" si="26"/>
        <v>1.3888888888888729E-2</v>
      </c>
      <c r="I79" s="16">
        <f t="shared" si="27"/>
        <v>1.3888888888888729E-2</v>
      </c>
      <c r="J79" s="15">
        <v>0.74999999999999833</v>
      </c>
      <c r="K79" s="15">
        <v>0.7986111111111095</v>
      </c>
      <c r="L79" s="15">
        <v>0.74999999999999833</v>
      </c>
      <c r="M79" s="45">
        <v>0.7986111111111095</v>
      </c>
      <c r="N79" s="16">
        <f t="shared" si="22"/>
        <v>0</v>
      </c>
      <c r="O79" s="16">
        <f t="shared" si="22"/>
        <v>0</v>
      </c>
      <c r="P79" s="16">
        <f t="shared" si="23"/>
        <v>0</v>
      </c>
      <c r="Q79" s="16">
        <f t="shared" si="23"/>
        <v>0</v>
      </c>
      <c r="R79" s="39">
        <f t="shared" si="16"/>
        <v>4.861111111111116E-2</v>
      </c>
      <c r="S79" s="39">
        <f t="shared" si="17"/>
        <v>4.861111111111116E-2</v>
      </c>
    </row>
    <row r="80" spans="1:19" s="19" customFormat="1" ht="15.95" customHeight="1">
      <c r="A80" s="41">
        <f>MAX($A$4:A79)+1</f>
        <v>76</v>
      </c>
      <c r="B80" s="42">
        <v>0.75833333333333164</v>
      </c>
      <c r="C80" s="42">
        <f t="shared" si="24"/>
        <v>0.8069444444444428</v>
      </c>
      <c r="D80" s="42">
        <f t="shared" si="19"/>
        <v>8.3333333333333037E-3</v>
      </c>
      <c r="E80" s="42">
        <f t="shared" si="20"/>
        <v>8.3333333333333037E-3</v>
      </c>
      <c r="F80" s="42">
        <v>0.75833333333333164</v>
      </c>
      <c r="G80" s="42">
        <f t="shared" si="25"/>
        <v>0.8069444444444428</v>
      </c>
      <c r="H80" s="16">
        <f t="shared" si="26"/>
        <v>1.5277777777777612E-2</v>
      </c>
      <c r="I80" s="16">
        <f t="shared" si="27"/>
        <v>1.5277777777777612E-2</v>
      </c>
      <c r="J80" s="15">
        <v>0.75833333333333164</v>
      </c>
      <c r="K80" s="15">
        <v>0.8069444444444428</v>
      </c>
      <c r="L80" s="15">
        <v>0.75833333333333164</v>
      </c>
      <c r="M80" s="45">
        <v>0.8069444444444428</v>
      </c>
      <c r="N80" s="16">
        <f t="shared" si="22"/>
        <v>0</v>
      </c>
      <c r="O80" s="16">
        <f t="shared" si="22"/>
        <v>0</v>
      </c>
      <c r="P80" s="16">
        <f t="shared" si="23"/>
        <v>0</v>
      </c>
      <c r="Q80" s="16">
        <f t="shared" si="23"/>
        <v>0</v>
      </c>
      <c r="R80" s="39">
        <f t="shared" si="16"/>
        <v>4.861111111111116E-2</v>
      </c>
      <c r="S80" s="39">
        <f t="shared" si="17"/>
        <v>4.861111111111116E-2</v>
      </c>
    </row>
    <row r="81" spans="1:19" s="19" customFormat="1" ht="15.95" customHeight="1">
      <c r="A81" s="41">
        <f>MAX($A$4:A80)+1</f>
        <v>77</v>
      </c>
      <c r="B81" s="42">
        <v>0.76666666666666494</v>
      </c>
      <c r="C81" s="42">
        <f t="shared" si="24"/>
        <v>0.8152777777777761</v>
      </c>
      <c r="D81" s="42">
        <f t="shared" si="19"/>
        <v>8.3333333333333037E-3</v>
      </c>
      <c r="E81" s="42">
        <f t="shared" si="20"/>
        <v>8.3333333333333037E-3</v>
      </c>
      <c r="F81" s="42">
        <v>0.76666666666666494</v>
      </c>
      <c r="G81" s="42">
        <f t="shared" si="25"/>
        <v>0.8152777777777761</v>
      </c>
      <c r="H81" s="16">
        <f t="shared" si="26"/>
        <v>9.7222222222219656E-3</v>
      </c>
      <c r="I81" s="16">
        <f t="shared" si="27"/>
        <v>9.7222222222219656E-3</v>
      </c>
      <c r="J81" s="15">
        <v>0.76666666666666494</v>
      </c>
      <c r="K81" s="15">
        <v>0.8152777777777761</v>
      </c>
      <c r="L81" s="15">
        <v>0.76666666666666494</v>
      </c>
      <c r="M81" s="45">
        <v>0.8152777777777761</v>
      </c>
      <c r="N81" s="16">
        <f t="shared" si="22"/>
        <v>0</v>
      </c>
      <c r="O81" s="16">
        <f t="shared" si="22"/>
        <v>0</v>
      </c>
      <c r="P81" s="16">
        <f t="shared" si="23"/>
        <v>0</v>
      </c>
      <c r="Q81" s="16">
        <f t="shared" si="23"/>
        <v>0</v>
      </c>
      <c r="R81" s="39">
        <f t="shared" si="16"/>
        <v>4.861111111111116E-2</v>
      </c>
      <c r="S81" s="39">
        <f t="shared" si="17"/>
        <v>4.861111111111116E-2</v>
      </c>
    </row>
    <row r="82" spans="1:19" s="19" customFormat="1" ht="15.95" customHeight="1">
      <c r="A82" s="41">
        <f>MAX($A$4:A81)+1</f>
        <v>78</v>
      </c>
      <c r="B82" s="42">
        <v>0.77499999999999825</v>
      </c>
      <c r="C82" s="42">
        <f t="shared" ref="C82:C89" si="28">B82+$H$3</f>
        <v>0.81666666666666488</v>
      </c>
      <c r="D82" s="42">
        <f t="shared" si="19"/>
        <v>8.3333333333333037E-3</v>
      </c>
      <c r="E82" s="42">
        <f t="shared" si="20"/>
        <v>8.3333333333333037E-3</v>
      </c>
      <c r="F82" s="42">
        <v>0.77499999999999825</v>
      </c>
      <c r="G82" s="42">
        <f t="shared" ref="G82:G89" si="29">F82+$H$3</f>
        <v>0.81666666666666488</v>
      </c>
      <c r="H82" s="16">
        <f t="shared" si="26"/>
        <v>1.111111111111085E-2</v>
      </c>
      <c r="I82" s="16">
        <f t="shared" si="27"/>
        <v>1.111111111111085E-2</v>
      </c>
      <c r="J82" s="15">
        <v>0.77499999999999825</v>
      </c>
      <c r="K82" s="15">
        <v>0.81666666666666488</v>
      </c>
      <c r="L82" s="15">
        <v>0.77499999999999825</v>
      </c>
      <c r="M82" s="45">
        <v>0.81666666666666488</v>
      </c>
      <c r="N82" s="16">
        <f t="shared" si="22"/>
        <v>0</v>
      </c>
      <c r="O82" s="16">
        <f t="shared" si="22"/>
        <v>0</v>
      </c>
      <c r="P82" s="16">
        <f t="shared" si="23"/>
        <v>0</v>
      </c>
      <c r="Q82" s="16">
        <f t="shared" si="23"/>
        <v>0</v>
      </c>
      <c r="R82" s="39">
        <f t="shared" si="16"/>
        <v>4.166666666666663E-2</v>
      </c>
      <c r="S82" s="39">
        <f t="shared" si="17"/>
        <v>4.166666666666663E-2</v>
      </c>
    </row>
    <row r="83" spans="1:19" s="19" customFormat="1" ht="15.95" customHeight="1">
      <c r="A83" s="41">
        <f>MAX($A$4:A82)+1</f>
        <v>79</v>
      </c>
      <c r="B83" s="42">
        <v>0.78333333333333155</v>
      </c>
      <c r="C83" s="42">
        <f t="shared" si="28"/>
        <v>0.82499999999999818</v>
      </c>
      <c r="D83" s="42">
        <f t="shared" si="19"/>
        <v>8.3333333333333037E-3</v>
      </c>
      <c r="E83" s="42">
        <f t="shared" si="20"/>
        <v>8.3333333333333037E-3</v>
      </c>
      <c r="F83" s="42">
        <v>0.78333333333333155</v>
      </c>
      <c r="G83" s="42">
        <f t="shared" si="29"/>
        <v>0.82499999999999818</v>
      </c>
      <c r="H83" s="16">
        <f t="shared" si="26"/>
        <v>1.2499999999999734E-2</v>
      </c>
      <c r="I83" s="16">
        <f t="shared" si="27"/>
        <v>1.2499999999999734E-2</v>
      </c>
      <c r="J83" s="15">
        <v>0.78333333333333155</v>
      </c>
      <c r="K83" s="15">
        <v>0.82499999999999818</v>
      </c>
      <c r="L83" s="15">
        <v>0.78333333333333155</v>
      </c>
      <c r="M83" s="45">
        <v>0.82499999999999818</v>
      </c>
      <c r="N83" s="16">
        <f t="shared" si="22"/>
        <v>0</v>
      </c>
      <c r="O83" s="16">
        <f t="shared" si="22"/>
        <v>0</v>
      </c>
      <c r="P83" s="16">
        <f t="shared" si="23"/>
        <v>0</v>
      </c>
      <c r="Q83" s="16">
        <f t="shared" si="23"/>
        <v>0</v>
      </c>
      <c r="R83" s="39">
        <f t="shared" si="16"/>
        <v>4.166666666666663E-2</v>
      </c>
      <c r="S83" s="39">
        <f t="shared" si="17"/>
        <v>4.166666666666663E-2</v>
      </c>
    </row>
    <row r="84" spans="1:19" s="19" customFormat="1" ht="15.95" customHeight="1">
      <c r="A84" s="41">
        <f>MAX($A$4:A83)+1</f>
        <v>80</v>
      </c>
      <c r="B84" s="42">
        <v>0.79166666666666485</v>
      </c>
      <c r="C84" s="42">
        <f t="shared" si="28"/>
        <v>0.83333333333333148</v>
      </c>
      <c r="D84" s="42">
        <f t="shared" si="19"/>
        <v>8.3333333333333037E-3</v>
      </c>
      <c r="E84" s="42">
        <f t="shared" si="20"/>
        <v>8.3333333333333037E-3</v>
      </c>
      <c r="F84" s="42">
        <v>0.79166666666666485</v>
      </c>
      <c r="G84" s="42">
        <f t="shared" si="29"/>
        <v>0.83333333333333148</v>
      </c>
      <c r="H84" s="16">
        <f t="shared" si="26"/>
        <v>1.3888888888888618E-2</v>
      </c>
      <c r="I84" s="16">
        <f t="shared" si="27"/>
        <v>1.3888888888888618E-2</v>
      </c>
      <c r="J84" s="15">
        <v>0.79166666666666485</v>
      </c>
      <c r="K84" s="15">
        <v>0.83333333333333148</v>
      </c>
      <c r="L84" s="15">
        <v>0.79166666666666485</v>
      </c>
      <c r="M84" s="45">
        <v>0.83333333333333148</v>
      </c>
      <c r="N84" s="16">
        <f t="shared" si="22"/>
        <v>0</v>
      </c>
      <c r="O84" s="16">
        <f t="shared" si="22"/>
        <v>0</v>
      </c>
      <c r="P84" s="16">
        <f t="shared" si="23"/>
        <v>0</v>
      </c>
      <c r="Q84" s="16">
        <f t="shared" si="23"/>
        <v>0</v>
      </c>
      <c r="R84" s="39">
        <f t="shared" si="16"/>
        <v>4.166666666666663E-2</v>
      </c>
      <c r="S84" s="39">
        <f t="shared" si="17"/>
        <v>4.166666666666663E-2</v>
      </c>
    </row>
    <row r="85" spans="1:19" s="19" customFormat="1" ht="15.95" customHeight="1">
      <c r="A85" s="41">
        <f>MAX($A$4:A84)+1</f>
        <v>81</v>
      </c>
      <c r="B85" s="42">
        <v>0.80208333333333148</v>
      </c>
      <c r="C85" s="42">
        <f t="shared" si="28"/>
        <v>0.84374999999999811</v>
      </c>
      <c r="D85" s="42">
        <f t="shared" si="19"/>
        <v>1.041666666666663E-2</v>
      </c>
      <c r="E85" s="42">
        <f t="shared" si="20"/>
        <v>1.041666666666663E-2</v>
      </c>
      <c r="F85" s="42">
        <v>0.80208333333333148</v>
      </c>
      <c r="G85" s="42">
        <f t="shared" si="29"/>
        <v>0.84374999999999811</v>
      </c>
      <c r="H85" s="16">
        <f t="shared" si="26"/>
        <v>1.7361111111110827E-2</v>
      </c>
      <c r="I85" s="16">
        <f t="shared" si="27"/>
        <v>1.7361111111110827E-2</v>
      </c>
      <c r="J85" s="15">
        <v>0.80208333333333148</v>
      </c>
      <c r="K85" s="15">
        <v>0.84374999999999811</v>
      </c>
      <c r="L85" s="15">
        <v>0.80208333333333148</v>
      </c>
      <c r="M85" s="45">
        <v>0.84374999999999811</v>
      </c>
      <c r="N85" s="16">
        <f t="shared" si="22"/>
        <v>0</v>
      </c>
      <c r="O85" s="16">
        <f t="shared" si="22"/>
        <v>0</v>
      </c>
      <c r="P85" s="16">
        <f t="shared" si="23"/>
        <v>0</v>
      </c>
      <c r="Q85" s="16">
        <f t="shared" si="23"/>
        <v>0</v>
      </c>
      <c r="R85" s="39">
        <f t="shared" si="16"/>
        <v>4.166666666666663E-2</v>
      </c>
      <c r="S85" s="39">
        <f t="shared" si="17"/>
        <v>4.166666666666663E-2</v>
      </c>
    </row>
    <row r="86" spans="1:19" s="19" customFormat="1" ht="15.95" customHeight="1">
      <c r="A86" s="41">
        <f>MAX($A$4:A85)+1</f>
        <v>82</v>
      </c>
      <c r="B86" s="42">
        <v>0.81249999999999811</v>
      </c>
      <c r="C86" s="42">
        <f t="shared" si="28"/>
        <v>0.85416666666666474</v>
      </c>
      <c r="D86" s="42">
        <f t="shared" si="19"/>
        <v>1.041666666666663E-2</v>
      </c>
      <c r="E86" s="42">
        <f t="shared" si="20"/>
        <v>1.041666666666663E-2</v>
      </c>
      <c r="F86" s="42">
        <v>0.81249999999999811</v>
      </c>
      <c r="G86" s="42">
        <f t="shared" si="29"/>
        <v>0.85416666666666474</v>
      </c>
      <c r="H86" s="16">
        <f t="shared" si="26"/>
        <v>2.0833333333333037E-2</v>
      </c>
      <c r="I86" s="16">
        <f t="shared" si="27"/>
        <v>2.0833333333333037E-2</v>
      </c>
      <c r="J86" s="15">
        <v>0.81249999999999811</v>
      </c>
      <c r="K86" s="15">
        <v>0.85416666666666474</v>
      </c>
      <c r="L86" s="15">
        <v>0.81249999999999811</v>
      </c>
      <c r="M86" s="45">
        <v>0.85416666666666474</v>
      </c>
      <c r="N86" s="16">
        <f t="shared" si="22"/>
        <v>0</v>
      </c>
      <c r="O86" s="16">
        <f t="shared" si="22"/>
        <v>0</v>
      </c>
      <c r="P86" s="16">
        <f t="shared" si="23"/>
        <v>0</v>
      </c>
      <c r="Q86" s="16">
        <f t="shared" si="23"/>
        <v>0</v>
      </c>
      <c r="R86" s="39">
        <f t="shared" si="16"/>
        <v>4.166666666666663E-2</v>
      </c>
      <c r="S86" s="39">
        <f t="shared" si="17"/>
        <v>4.166666666666663E-2</v>
      </c>
    </row>
    <row r="87" spans="1:19" s="19" customFormat="1" ht="15.95" customHeight="1">
      <c r="A87" s="41">
        <f>MAX($A$4:A86)+1</f>
        <v>83</v>
      </c>
      <c r="B87" s="42">
        <v>0.82291666666666474</v>
      </c>
      <c r="C87" s="42">
        <f t="shared" si="28"/>
        <v>0.86458333333333137</v>
      </c>
      <c r="D87" s="42">
        <f t="shared" si="19"/>
        <v>1.041666666666663E-2</v>
      </c>
      <c r="E87" s="42">
        <f t="shared" si="20"/>
        <v>1.041666666666663E-2</v>
      </c>
      <c r="F87" s="42">
        <v>0.82291666666666474</v>
      </c>
      <c r="G87" s="42">
        <f t="shared" si="29"/>
        <v>0.86458333333333137</v>
      </c>
      <c r="H87" s="16">
        <f t="shared" si="26"/>
        <v>2.4305555555555247E-2</v>
      </c>
      <c r="I87" s="16">
        <f t="shared" si="27"/>
        <v>2.4305555555555247E-2</v>
      </c>
      <c r="J87" s="15">
        <v>0.82291666666666474</v>
      </c>
      <c r="K87" s="15">
        <v>0.86458333333333137</v>
      </c>
      <c r="L87" s="15">
        <v>0.82291666666666474</v>
      </c>
      <c r="M87" s="45">
        <v>0.86458333333333137</v>
      </c>
      <c r="N87" s="16">
        <f t="shared" si="22"/>
        <v>0</v>
      </c>
      <c r="O87" s="16">
        <f t="shared" si="22"/>
        <v>0</v>
      </c>
      <c r="P87" s="16">
        <f t="shared" si="23"/>
        <v>0</v>
      </c>
      <c r="Q87" s="16">
        <f t="shared" si="23"/>
        <v>0</v>
      </c>
      <c r="R87" s="39">
        <f t="shared" si="16"/>
        <v>4.166666666666663E-2</v>
      </c>
      <c r="S87" s="39">
        <f t="shared" si="17"/>
        <v>4.166666666666663E-2</v>
      </c>
    </row>
    <row r="88" spans="1:19" s="19" customFormat="1" ht="15.95" customHeight="1">
      <c r="A88" s="41">
        <f>MAX($A$4:A87)+1</f>
        <v>84</v>
      </c>
      <c r="B88" s="42">
        <v>0.83333333333333137</v>
      </c>
      <c r="C88" s="42">
        <f t="shared" si="28"/>
        <v>0.874999999999998</v>
      </c>
      <c r="D88" s="42">
        <f t="shared" si="19"/>
        <v>1.041666666666663E-2</v>
      </c>
      <c r="E88" s="42">
        <f t="shared" si="20"/>
        <v>1.041666666666663E-2</v>
      </c>
      <c r="F88" s="42">
        <v>0.83333333333333137</v>
      </c>
      <c r="G88" s="42">
        <f t="shared" si="29"/>
        <v>0.874999999999998</v>
      </c>
      <c r="H88" s="16">
        <f t="shared" si="26"/>
        <v>2.6388888888888573E-2</v>
      </c>
      <c r="I88" s="16">
        <f t="shared" si="27"/>
        <v>2.6388888888888573E-2</v>
      </c>
      <c r="J88" s="15">
        <v>0.83333333333333137</v>
      </c>
      <c r="K88" s="15">
        <v>0.874999999999998</v>
      </c>
      <c r="L88" s="15">
        <v>0.83333333333333137</v>
      </c>
      <c r="M88" s="45">
        <v>0.874999999999998</v>
      </c>
      <c r="N88" s="16">
        <f t="shared" si="22"/>
        <v>0</v>
      </c>
      <c r="O88" s="16">
        <f t="shared" si="22"/>
        <v>0</v>
      </c>
      <c r="P88" s="16">
        <f t="shared" si="23"/>
        <v>0</v>
      </c>
      <c r="Q88" s="16">
        <f t="shared" si="23"/>
        <v>0</v>
      </c>
      <c r="R88" s="39">
        <f t="shared" si="16"/>
        <v>4.166666666666663E-2</v>
      </c>
      <c r="S88" s="39">
        <f t="shared" si="17"/>
        <v>4.166666666666663E-2</v>
      </c>
    </row>
    <row r="89" spans="1:19" s="19" customFormat="1" ht="15.95" customHeight="1">
      <c r="A89" s="41">
        <f>MAX($A$4:A88)+1</f>
        <v>85</v>
      </c>
      <c r="B89" s="42">
        <v>0.843749999999998</v>
      </c>
      <c r="C89" s="42">
        <f t="shared" si="28"/>
        <v>0.88541666666666463</v>
      </c>
      <c r="D89" s="42">
        <f t="shared" si="19"/>
        <v>1.041666666666663E-2</v>
      </c>
      <c r="E89" s="42">
        <f t="shared" si="20"/>
        <v>1.041666666666663E-2</v>
      </c>
      <c r="F89" s="42">
        <v>0.843749999999998</v>
      </c>
      <c r="G89" s="42">
        <f t="shared" si="29"/>
        <v>0.88541666666666463</v>
      </c>
      <c r="H89" s="16">
        <f t="shared" si="26"/>
        <v>2.8472222222221899E-2</v>
      </c>
      <c r="I89" s="16">
        <f t="shared" si="27"/>
        <v>2.8472222222221899E-2</v>
      </c>
      <c r="J89" s="15">
        <v>0.843749999999998</v>
      </c>
      <c r="K89" s="15">
        <v>0.88541666666666463</v>
      </c>
      <c r="L89" s="15">
        <v>0.843749999999998</v>
      </c>
      <c r="M89" s="45">
        <v>0.88541666666666463</v>
      </c>
      <c r="N89" s="16">
        <f t="shared" si="22"/>
        <v>0</v>
      </c>
      <c r="O89" s="16">
        <f t="shared" si="22"/>
        <v>0</v>
      </c>
      <c r="P89" s="16">
        <f t="shared" si="23"/>
        <v>0</v>
      </c>
      <c r="Q89" s="16">
        <f t="shared" si="23"/>
        <v>0</v>
      </c>
      <c r="R89" s="39">
        <f t="shared" si="16"/>
        <v>4.166666666666663E-2</v>
      </c>
      <c r="S89" s="39">
        <f t="shared" si="17"/>
        <v>4.166666666666663E-2</v>
      </c>
    </row>
    <row r="90" spans="1:19" s="19" customFormat="1" ht="14.25">
      <c r="A90" s="35"/>
      <c r="B90" s="36"/>
      <c r="C90" s="36"/>
      <c r="D90" s="36"/>
      <c r="E90" s="36"/>
      <c r="F90" s="36"/>
      <c r="G90" s="36"/>
      <c r="H90" s="16"/>
      <c r="I90" s="16"/>
      <c r="J90" s="36"/>
      <c r="K90" s="36"/>
      <c r="L90" s="36"/>
      <c r="M90" s="36"/>
      <c r="N90" s="16"/>
      <c r="O90" s="16"/>
      <c r="P90" s="16"/>
      <c r="Q90" s="16"/>
    </row>
    <row r="91" spans="1:19" ht="16.5" customHeight="1">
      <c r="A91" s="17"/>
      <c r="B91" s="20" t="s">
        <v>2</v>
      </c>
      <c r="C91" s="21">
        <f>A89*2</f>
        <v>170</v>
      </c>
      <c r="D91" s="22"/>
      <c r="E91" s="23"/>
      <c r="F91" s="24" t="s">
        <v>3</v>
      </c>
      <c r="G91" s="25"/>
      <c r="H91" s="16">
        <f>MIN($H$4:$H$89)</f>
        <v>9.7222222222219656E-3</v>
      </c>
      <c r="I91" s="16">
        <f>MIN($I$5:$I$89)</f>
        <v>9.7222222222219656E-3</v>
      </c>
      <c r="J91" s="17"/>
      <c r="K91" s="17"/>
    </row>
    <row r="92" spans="1:19" ht="17.25" customHeight="1">
      <c r="A92" s="17"/>
      <c r="B92" s="28" t="s">
        <v>4</v>
      </c>
      <c r="C92" s="21" t="str">
        <f>S1</f>
        <v>50-70</v>
      </c>
      <c r="D92" s="17"/>
      <c r="E92" s="25"/>
      <c r="F92" s="28" t="s">
        <v>5</v>
      </c>
      <c r="G92" s="26"/>
      <c r="H92" s="17"/>
      <c r="I92" s="16"/>
      <c r="J92" s="17"/>
      <c r="K92" s="17"/>
    </row>
    <row r="93" spans="1:19" ht="17.25" customHeight="1">
      <c r="A93" s="17"/>
      <c r="B93" s="28" t="s">
        <v>6</v>
      </c>
      <c r="C93" s="21"/>
      <c r="D93" s="17"/>
      <c r="E93" s="30"/>
      <c r="F93" s="28"/>
      <c r="G93" s="26"/>
      <c r="H93" s="17"/>
      <c r="I93" s="16"/>
      <c r="J93" s="17"/>
      <c r="K93" s="17"/>
    </row>
    <row r="94" spans="1:19" ht="17.25" customHeight="1">
      <c r="A94" s="17"/>
      <c r="B94" s="28" t="s">
        <v>7</v>
      </c>
      <c r="C94" s="21">
        <f>HOUR(MIN($D$6:$E$89))*60+MINUTE(MIN($D$6:$E$89))</f>
        <v>10</v>
      </c>
      <c r="D94" s="17"/>
      <c r="E94" s="31"/>
      <c r="F94" s="28" t="s">
        <v>5</v>
      </c>
      <c r="G94" s="26"/>
      <c r="H94" s="17"/>
      <c r="I94" s="16"/>
      <c r="J94" s="17"/>
      <c r="K94" s="17"/>
    </row>
    <row r="95" spans="1:19" ht="17.25" customHeight="1">
      <c r="A95" s="17"/>
      <c r="B95" s="28" t="s">
        <v>8</v>
      </c>
      <c r="C95" s="21">
        <f>HOUR(MAX($D$6:$E$89))*60+MINUTE(MAX($D$6:$E$89))</f>
        <v>15</v>
      </c>
      <c r="D95" s="17"/>
      <c r="E95" s="26"/>
      <c r="F95" s="28" t="s">
        <v>5</v>
      </c>
      <c r="G95" s="26"/>
      <c r="H95" s="17"/>
      <c r="I95" s="16"/>
      <c r="J95" s="17"/>
      <c r="K95" s="17"/>
    </row>
    <row r="96" spans="1:19">
      <c r="A96" s="17"/>
      <c r="B96" s="17"/>
      <c r="C96" s="17"/>
      <c r="D96" s="17"/>
      <c r="E96" s="32"/>
      <c r="F96" s="17"/>
      <c r="G96" s="26"/>
      <c r="H96" s="17"/>
      <c r="I96" s="17"/>
      <c r="J96" s="17"/>
      <c r="K96" s="17"/>
    </row>
    <row r="97" spans="1:11" hidden="1">
      <c r="A97" s="33" t="s">
        <v>9</v>
      </c>
      <c r="B97" s="33"/>
      <c r="C97" s="33"/>
      <c r="D97" s="33"/>
      <c r="E97" s="33"/>
      <c r="F97" s="17"/>
      <c r="G97" s="26"/>
      <c r="H97" s="17"/>
      <c r="I97" s="17"/>
      <c r="J97" s="17"/>
      <c r="K97" s="17"/>
    </row>
    <row r="98" spans="1:11" hidden="1">
      <c r="A98" s="34" t="s">
        <v>10</v>
      </c>
      <c r="B98" s="34"/>
      <c r="C98" s="34"/>
      <c r="D98" s="34"/>
      <c r="E98" s="34"/>
    </row>
  </sheetData>
  <autoFilter ref="B4:S4" xr:uid="{00000000-0009-0000-0000-000004000000}"/>
  <mergeCells count="3">
    <mergeCell ref="A1:G1"/>
    <mergeCell ref="A2:G2"/>
    <mergeCell ref="A3:A4"/>
  </mergeCells>
  <conditionalFormatting sqref="H2:H4 H6:I89">
    <cfRule type="cellIs" dxfId="2" priority="1" operator="lessThan">
      <formula>0.00347222222222222</formula>
    </cfRule>
  </conditionalFormatting>
  <pageMargins left="0.7" right="0.7" top="0.59" bottom="0.75" header="0.3" footer="0.3"/>
  <pageSetup paperSize="9" firstPageNumber="3" orientation="portrait" r:id="rId1"/>
  <headerFooter differentFirst="1" alignWithMargins="0">
    <oddHeader>&amp;C&amp;P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13"/>
  <sheetViews>
    <sheetView zoomScaleNormal="100" workbookViewId="0">
      <selection activeCell="X4" sqref="X4"/>
    </sheetView>
  </sheetViews>
  <sheetFormatPr defaultColWidth="10.28515625" defaultRowHeight="15.75"/>
  <cols>
    <col min="1" max="1" width="8.140625" style="27" customWidth="1"/>
    <col min="2" max="2" width="20" style="27" customWidth="1"/>
    <col min="3" max="3" width="18.28515625" style="27" customWidth="1"/>
    <col min="4" max="5" width="7.42578125" style="27" customWidth="1"/>
    <col min="6" max="6" width="19" style="27" customWidth="1"/>
    <col min="7" max="7" width="19.85546875" style="27" customWidth="1"/>
    <col min="8" max="9" width="6" style="27" customWidth="1"/>
    <col min="10" max="19" width="5.7109375" style="27" customWidth="1"/>
    <col min="20" max="25" width="10.28515625" style="27" customWidth="1"/>
    <col min="26" max="16384" width="10.28515625" style="27"/>
  </cols>
  <sheetData>
    <row r="1" spans="1:19" s="2" customFormat="1" ht="102" customHeight="1">
      <c r="A1" s="49" t="s">
        <v>23</v>
      </c>
      <c r="B1" s="49"/>
      <c r="C1" s="49"/>
      <c r="D1" s="49"/>
      <c r="E1" s="49"/>
      <c r="F1" s="49"/>
      <c r="G1" s="49"/>
      <c r="H1" s="16">
        <f>MIN($H$4:$H$104)</f>
        <v>3.4722222222219878E-3</v>
      </c>
      <c r="I1" s="16">
        <f>MIN($I$5:$I$104)</f>
        <v>5.5555555555553693E-3</v>
      </c>
      <c r="J1" s="1"/>
      <c r="K1" s="1"/>
    </row>
    <row r="2" spans="1:19" s="2" customFormat="1" ht="36.75" customHeight="1">
      <c r="A2" s="48"/>
      <c r="B2" s="48"/>
      <c r="C2" s="48"/>
      <c r="D2" s="48"/>
      <c r="E2" s="48"/>
      <c r="F2" s="48"/>
      <c r="G2" s="48"/>
      <c r="H2" s="16">
        <v>3.4722222222222224E-2</v>
      </c>
      <c r="I2" s="16"/>
      <c r="J2" s="1"/>
      <c r="K2" s="1"/>
    </row>
    <row r="3" spans="1:19" s="7" customFormat="1" ht="17.25" customHeight="1">
      <c r="A3" s="46" t="s">
        <v>0</v>
      </c>
      <c r="B3" s="43" t="s">
        <v>12</v>
      </c>
      <c r="C3" s="44"/>
      <c r="D3" s="5"/>
      <c r="E3" s="5"/>
      <c r="F3" s="43" t="s">
        <v>13</v>
      </c>
      <c r="G3" s="44"/>
      <c r="H3" s="16">
        <v>4.1666666666666664E-2</v>
      </c>
      <c r="I3" s="6">
        <f>COUNTBLANK($H$5:$I$59)</f>
        <v>17</v>
      </c>
      <c r="J3" s="40"/>
      <c r="K3" s="6"/>
    </row>
    <row r="4" spans="1:19" s="13" customFormat="1" ht="42" customHeight="1">
      <c r="A4" s="47"/>
      <c r="B4" s="8" t="s">
        <v>15</v>
      </c>
      <c r="C4" s="9" t="s">
        <v>11</v>
      </c>
      <c r="D4" s="10" t="s">
        <v>1</v>
      </c>
      <c r="E4" s="10" t="s">
        <v>1</v>
      </c>
      <c r="F4" s="9" t="s">
        <v>16</v>
      </c>
      <c r="G4" s="11" t="s">
        <v>17</v>
      </c>
      <c r="H4" s="16">
        <v>4.8611111111111112E-2</v>
      </c>
      <c r="I4" s="16"/>
      <c r="J4" s="12"/>
      <c r="K4" s="12"/>
    </row>
    <row r="5" spans="1:19" s="19" customFormat="1" ht="15.95" customHeight="1">
      <c r="A5" s="41">
        <f>MAX($A$4:A4)+1</f>
        <v>1</v>
      </c>
      <c r="B5" s="42">
        <v>0.20833333333333334</v>
      </c>
      <c r="C5" s="42">
        <f t="shared" ref="C5:C10" si="0">B5+$H$2</f>
        <v>0.24305555555555558</v>
      </c>
      <c r="D5" s="42"/>
      <c r="E5" s="42"/>
      <c r="F5" s="42">
        <v>0.20833333333333334</v>
      </c>
      <c r="G5" s="42">
        <f t="shared" ref="G5:G10" si="1">F5+$H$2</f>
        <v>0.24305555555555558</v>
      </c>
      <c r="J5" s="15">
        <v>0.20833333333333334</v>
      </c>
      <c r="K5" s="15">
        <v>0.24305555555555558</v>
      </c>
      <c r="L5" s="15">
        <v>0.20833333333333334</v>
      </c>
      <c r="M5" s="45">
        <v>0.24305555555555558</v>
      </c>
      <c r="N5" s="16">
        <f t="shared" ref="N5:O24" si="2">J5-B5</f>
        <v>0</v>
      </c>
      <c r="O5" s="16">
        <f t="shared" si="2"/>
        <v>0</v>
      </c>
      <c r="P5" s="16">
        <f t="shared" ref="P5:Q24" si="3">L5-F5</f>
        <v>0</v>
      </c>
      <c r="Q5" s="16">
        <f t="shared" si="3"/>
        <v>0</v>
      </c>
      <c r="R5" s="39">
        <f>K5-J5</f>
        <v>3.4722222222222238E-2</v>
      </c>
      <c r="S5" s="39">
        <f>M5-L5</f>
        <v>3.4722222222222238E-2</v>
      </c>
    </row>
    <row r="6" spans="1:19" s="19" customFormat="1" ht="15.95" customHeight="1">
      <c r="A6" s="41">
        <f>MAX($A$4:A5)+1</f>
        <v>2</v>
      </c>
      <c r="B6" s="42">
        <v>0.21527777777777779</v>
      </c>
      <c r="C6" s="42">
        <f t="shared" si="0"/>
        <v>0.25</v>
      </c>
      <c r="D6" s="42">
        <f>B6-B5</f>
        <v>6.9444444444444475E-3</v>
      </c>
      <c r="E6" s="42">
        <f>F6-F5</f>
        <v>6.9444444444444475E-3</v>
      </c>
      <c r="F6" s="42">
        <v>0.21527777777777779</v>
      </c>
      <c r="G6" s="42">
        <f t="shared" si="1"/>
        <v>0.25</v>
      </c>
      <c r="H6" s="38"/>
      <c r="I6" s="17"/>
      <c r="J6" s="15">
        <v>0.21527777777777779</v>
      </c>
      <c r="K6" s="15">
        <v>0.25</v>
      </c>
      <c r="L6" s="15">
        <v>0.21527777777777779</v>
      </c>
      <c r="M6" s="45">
        <v>0.25</v>
      </c>
      <c r="N6" s="16">
        <f t="shared" si="2"/>
        <v>0</v>
      </c>
      <c r="O6" s="16">
        <f t="shared" si="2"/>
        <v>0</v>
      </c>
      <c r="P6" s="16">
        <f t="shared" si="3"/>
        <v>0</v>
      </c>
      <c r="Q6" s="16">
        <f t="shared" si="3"/>
        <v>0</v>
      </c>
      <c r="R6" s="39">
        <f t="shared" ref="R6:R69" si="4">K6-J6</f>
        <v>3.472222222222221E-2</v>
      </c>
      <c r="S6" s="39">
        <f t="shared" ref="S6:S69" si="5">M6-L6</f>
        <v>3.472222222222221E-2</v>
      </c>
    </row>
    <row r="7" spans="1:19" s="19" customFormat="1" ht="15.95" customHeight="1">
      <c r="A7" s="41">
        <f>MAX($A$4:A6)+1</f>
        <v>3</v>
      </c>
      <c r="B7" s="42">
        <v>0.22222222222222224</v>
      </c>
      <c r="C7" s="42">
        <f t="shared" si="0"/>
        <v>0.25694444444444448</v>
      </c>
      <c r="D7" s="42">
        <f t="shared" ref="D7:D70" si="6">B7-B6</f>
        <v>6.9444444444444475E-3</v>
      </c>
      <c r="E7" s="42">
        <f t="shared" ref="E7:E70" si="7">F7-F6</f>
        <v>6.9444444444444475E-3</v>
      </c>
      <c r="F7" s="42">
        <v>0.22222222222222224</v>
      </c>
      <c r="G7" s="42">
        <f t="shared" si="1"/>
        <v>0.25694444444444448</v>
      </c>
      <c r="H7" s="38"/>
      <c r="I7" s="17"/>
      <c r="J7" s="15">
        <v>0.22222222222222224</v>
      </c>
      <c r="K7" s="15">
        <v>0.25694444444444448</v>
      </c>
      <c r="L7" s="15">
        <v>0.22222222222222224</v>
      </c>
      <c r="M7" s="45">
        <v>0.25694444444444448</v>
      </c>
      <c r="N7" s="16">
        <f t="shared" si="2"/>
        <v>0</v>
      </c>
      <c r="O7" s="16">
        <f t="shared" si="2"/>
        <v>0</v>
      </c>
      <c r="P7" s="16">
        <f t="shared" si="3"/>
        <v>0</v>
      </c>
      <c r="Q7" s="16">
        <f t="shared" si="3"/>
        <v>0</v>
      </c>
      <c r="R7" s="39">
        <f t="shared" si="4"/>
        <v>3.4722222222222238E-2</v>
      </c>
      <c r="S7" s="39">
        <f t="shared" si="5"/>
        <v>3.4722222222222238E-2</v>
      </c>
    </row>
    <row r="8" spans="1:19" s="19" customFormat="1" ht="15.95" customHeight="1">
      <c r="A8" s="41">
        <f>MAX($A$4:A7)+1</f>
        <v>4</v>
      </c>
      <c r="B8" s="42">
        <v>0.22916666666666669</v>
      </c>
      <c r="C8" s="42">
        <f t="shared" si="0"/>
        <v>0.2638888888888889</v>
      </c>
      <c r="D8" s="42">
        <f t="shared" si="6"/>
        <v>6.9444444444444475E-3</v>
      </c>
      <c r="E8" s="42">
        <f t="shared" si="7"/>
        <v>6.9444444444444475E-3</v>
      </c>
      <c r="F8" s="42">
        <v>0.22916666666666669</v>
      </c>
      <c r="G8" s="42">
        <f t="shared" si="1"/>
        <v>0.2638888888888889</v>
      </c>
      <c r="H8" s="16"/>
      <c r="I8" s="17"/>
      <c r="J8" s="15">
        <v>0.22916666666666669</v>
      </c>
      <c r="K8" s="15">
        <v>0.2638888888888889</v>
      </c>
      <c r="L8" s="15">
        <v>0.22916666666666669</v>
      </c>
      <c r="M8" s="45">
        <v>0.2638888888888889</v>
      </c>
      <c r="N8" s="16">
        <f t="shared" si="2"/>
        <v>0</v>
      </c>
      <c r="O8" s="16">
        <f t="shared" si="2"/>
        <v>0</v>
      </c>
      <c r="P8" s="16">
        <f t="shared" si="3"/>
        <v>0</v>
      </c>
      <c r="Q8" s="16">
        <f t="shared" si="3"/>
        <v>0</v>
      </c>
      <c r="R8" s="39">
        <f t="shared" si="4"/>
        <v>3.472222222222221E-2</v>
      </c>
      <c r="S8" s="39">
        <f t="shared" si="5"/>
        <v>3.472222222222221E-2</v>
      </c>
    </row>
    <row r="9" spans="1:19" s="19" customFormat="1" ht="15.95" customHeight="1">
      <c r="A9" s="41">
        <f>MAX($A$4:A8)+1</f>
        <v>5</v>
      </c>
      <c r="B9" s="42">
        <v>0.23611111111111113</v>
      </c>
      <c r="C9" s="42">
        <f t="shared" si="0"/>
        <v>0.27083333333333337</v>
      </c>
      <c r="D9" s="42">
        <f t="shared" si="6"/>
        <v>6.9444444444444475E-3</v>
      </c>
      <c r="E9" s="42">
        <f t="shared" si="7"/>
        <v>6.9444444444444475E-3</v>
      </c>
      <c r="F9" s="42">
        <v>0.23611111111111113</v>
      </c>
      <c r="G9" s="42">
        <f t="shared" si="1"/>
        <v>0.27083333333333337</v>
      </c>
      <c r="H9" s="16"/>
      <c r="I9" s="16"/>
      <c r="J9" s="15">
        <v>0.23611111111111113</v>
      </c>
      <c r="K9" s="15">
        <v>0.27083333333333337</v>
      </c>
      <c r="L9" s="15">
        <v>0.23611111111111113</v>
      </c>
      <c r="M9" s="45">
        <v>0.27083333333333337</v>
      </c>
      <c r="N9" s="16">
        <f t="shared" si="2"/>
        <v>0</v>
      </c>
      <c r="O9" s="16">
        <f t="shared" si="2"/>
        <v>0</v>
      </c>
      <c r="P9" s="16">
        <f t="shared" si="3"/>
        <v>0</v>
      </c>
      <c r="Q9" s="16">
        <f t="shared" si="3"/>
        <v>0</v>
      </c>
      <c r="R9" s="39">
        <f t="shared" si="4"/>
        <v>3.4722222222222238E-2</v>
      </c>
      <c r="S9" s="39">
        <f t="shared" si="5"/>
        <v>3.4722222222222238E-2</v>
      </c>
    </row>
    <row r="10" spans="1:19" s="19" customFormat="1" ht="15.95" customHeight="1">
      <c r="A10" s="41">
        <f>MAX($A$4:A9)+1</f>
        <v>6</v>
      </c>
      <c r="B10" s="42">
        <v>0.24305555555555558</v>
      </c>
      <c r="C10" s="42">
        <f t="shared" si="0"/>
        <v>0.27777777777777779</v>
      </c>
      <c r="D10" s="42">
        <f t="shared" si="6"/>
        <v>6.9444444444444475E-3</v>
      </c>
      <c r="E10" s="42">
        <f t="shared" si="7"/>
        <v>6.9444444444444475E-3</v>
      </c>
      <c r="F10" s="42">
        <v>0.24305555555555558</v>
      </c>
      <c r="G10" s="42">
        <f t="shared" si="1"/>
        <v>0.27777777777777779</v>
      </c>
      <c r="H10" s="16"/>
      <c r="I10" s="16"/>
      <c r="J10" s="15">
        <v>0.24305555555555558</v>
      </c>
      <c r="K10" s="15">
        <v>0.27777777777777779</v>
      </c>
      <c r="L10" s="15">
        <v>0.24305555555555558</v>
      </c>
      <c r="M10" s="45">
        <v>0.27777777777777779</v>
      </c>
      <c r="N10" s="16">
        <f t="shared" si="2"/>
        <v>0</v>
      </c>
      <c r="O10" s="16">
        <f t="shared" si="2"/>
        <v>0</v>
      </c>
      <c r="P10" s="16">
        <f t="shared" si="3"/>
        <v>0</v>
      </c>
      <c r="Q10" s="16">
        <f t="shared" si="3"/>
        <v>0</v>
      </c>
      <c r="R10" s="39">
        <f t="shared" si="4"/>
        <v>3.472222222222221E-2</v>
      </c>
      <c r="S10" s="39">
        <f t="shared" si="5"/>
        <v>3.472222222222221E-2</v>
      </c>
    </row>
    <row r="11" spans="1:19" s="19" customFormat="1" ht="15.95" customHeight="1">
      <c r="A11" s="41">
        <f>MAX($A$4:A10)+1</f>
        <v>7</v>
      </c>
      <c r="B11" s="42">
        <v>0.25</v>
      </c>
      <c r="C11" s="42">
        <f t="shared" ref="C11:C42" si="8">B11+$H$3</f>
        <v>0.29166666666666669</v>
      </c>
      <c r="D11" s="42">
        <f t="shared" si="6"/>
        <v>6.9444444444444198E-3</v>
      </c>
      <c r="E11" s="42">
        <f t="shared" si="7"/>
        <v>6.9444444444444198E-3</v>
      </c>
      <c r="F11" s="42">
        <v>0.25</v>
      </c>
      <c r="G11" s="42">
        <f t="shared" ref="G11:G42" si="9">F11+$H$3</f>
        <v>0.29166666666666669</v>
      </c>
      <c r="H11" s="16"/>
      <c r="I11" s="16"/>
      <c r="J11" s="15">
        <v>0.25</v>
      </c>
      <c r="K11" s="15">
        <v>0.29166666666666669</v>
      </c>
      <c r="L11" s="15">
        <v>0.25</v>
      </c>
      <c r="M11" s="45">
        <v>0.29166666666666669</v>
      </c>
      <c r="N11" s="16">
        <f t="shared" si="2"/>
        <v>0</v>
      </c>
      <c r="O11" s="16">
        <f t="shared" si="2"/>
        <v>0</v>
      </c>
      <c r="P11" s="16">
        <f t="shared" si="3"/>
        <v>0</v>
      </c>
      <c r="Q11" s="16">
        <f t="shared" si="3"/>
        <v>0</v>
      </c>
      <c r="R11" s="39">
        <f t="shared" si="4"/>
        <v>4.1666666666666685E-2</v>
      </c>
      <c r="S11" s="39">
        <f t="shared" si="5"/>
        <v>4.1666666666666685E-2</v>
      </c>
    </row>
    <row r="12" spans="1:19" s="19" customFormat="1" ht="15.95" customHeight="1">
      <c r="A12" s="41">
        <f>MAX($A$4:A11)+1</f>
        <v>8</v>
      </c>
      <c r="B12" s="42">
        <v>0.25694444444444442</v>
      </c>
      <c r="C12" s="42">
        <f t="shared" si="8"/>
        <v>0.2986111111111111</v>
      </c>
      <c r="D12" s="42">
        <f t="shared" si="6"/>
        <v>6.9444444444444198E-3</v>
      </c>
      <c r="E12" s="42">
        <f t="shared" si="7"/>
        <v>5.5555555555555358E-3</v>
      </c>
      <c r="F12" s="42">
        <v>0.25555555555555554</v>
      </c>
      <c r="G12" s="42">
        <f t="shared" si="9"/>
        <v>0.29722222222222222</v>
      </c>
      <c r="H12" s="16"/>
      <c r="I12" s="16"/>
      <c r="J12" s="15">
        <v>0.25694444444444442</v>
      </c>
      <c r="K12" s="15">
        <v>0.2986111111111111</v>
      </c>
      <c r="L12" s="15">
        <v>0.25555555555555554</v>
      </c>
      <c r="M12" s="45">
        <v>0.29722222222222222</v>
      </c>
      <c r="N12" s="16">
        <f t="shared" si="2"/>
        <v>0</v>
      </c>
      <c r="O12" s="16">
        <f t="shared" si="2"/>
        <v>0</v>
      </c>
      <c r="P12" s="16">
        <f t="shared" si="3"/>
        <v>0</v>
      </c>
      <c r="Q12" s="16">
        <f t="shared" si="3"/>
        <v>0</v>
      </c>
      <c r="R12" s="39">
        <f t="shared" si="4"/>
        <v>4.1666666666666685E-2</v>
      </c>
      <c r="S12" s="39">
        <f t="shared" si="5"/>
        <v>4.1666666666666685E-2</v>
      </c>
    </row>
    <row r="13" spans="1:19" s="19" customFormat="1" ht="15.95" customHeight="1">
      <c r="A13" s="41">
        <f>MAX($A$4:A12)+1</f>
        <v>9</v>
      </c>
      <c r="B13" s="42">
        <v>0.26388888888888884</v>
      </c>
      <c r="C13" s="42">
        <f t="shared" si="8"/>
        <v>0.30555555555555552</v>
      </c>
      <c r="D13" s="42">
        <f t="shared" si="6"/>
        <v>6.9444444444444198E-3</v>
      </c>
      <c r="E13" s="42">
        <f t="shared" si="7"/>
        <v>5.5555555555555358E-3</v>
      </c>
      <c r="F13" s="42">
        <v>0.26111111111111107</v>
      </c>
      <c r="G13" s="42">
        <f t="shared" si="9"/>
        <v>0.30277777777777776</v>
      </c>
      <c r="H13" s="16">
        <f>B13-G5</f>
        <v>2.0833333333333259E-2</v>
      </c>
      <c r="I13" s="16"/>
      <c r="J13" s="15">
        <v>0.26388888888888884</v>
      </c>
      <c r="K13" s="15">
        <v>0.30555555555555552</v>
      </c>
      <c r="L13" s="15">
        <v>0.26111111111111107</v>
      </c>
      <c r="M13" s="45">
        <v>0.30277777777777776</v>
      </c>
      <c r="N13" s="16">
        <f t="shared" si="2"/>
        <v>0</v>
      </c>
      <c r="O13" s="16">
        <f t="shared" si="2"/>
        <v>0</v>
      </c>
      <c r="P13" s="16">
        <f t="shared" si="3"/>
        <v>0</v>
      </c>
      <c r="Q13" s="16">
        <f t="shared" si="3"/>
        <v>0</v>
      </c>
      <c r="R13" s="39">
        <f t="shared" si="4"/>
        <v>4.1666666666666685E-2</v>
      </c>
      <c r="S13" s="39">
        <f t="shared" si="5"/>
        <v>4.1666666666666685E-2</v>
      </c>
    </row>
    <row r="14" spans="1:19" s="19" customFormat="1" ht="15.95" customHeight="1">
      <c r="A14" s="41">
        <f>MAX($A$4:A13)+1</f>
        <v>10</v>
      </c>
      <c r="B14" s="42">
        <v>0.26944444444444438</v>
      </c>
      <c r="C14" s="42">
        <f t="shared" si="8"/>
        <v>0.31111111111111106</v>
      </c>
      <c r="D14" s="42">
        <f t="shared" si="6"/>
        <v>5.5555555555555358E-3</v>
      </c>
      <c r="E14" s="42">
        <f t="shared" si="7"/>
        <v>5.5555555555555358E-3</v>
      </c>
      <c r="F14" s="42">
        <v>0.26666666666666661</v>
      </c>
      <c r="G14" s="42">
        <f t="shared" si="9"/>
        <v>0.30833333333333329</v>
      </c>
      <c r="H14" s="16">
        <f t="shared" ref="H14:H77" si="10">B14-G6</f>
        <v>1.9444444444444375E-2</v>
      </c>
      <c r="I14" s="16">
        <f>F14-C5</f>
        <v>2.3611111111111027E-2</v>
      </c>
      <c r="J14" s="15">
        <v>0.26944444444444438</v>
      </c>
      <c r="K14" s="15">
        <v>0.31111111111111106</v>
      </c>
      <c r="L14" s="15">
        <v>0.26666666666666661</v>
      </c>
      <c r="M14" s="45">
        <v>0.30833333333333329</v>
      </c>
      <c r="N14" s="16">
        <f t="shared" si="2"/>
        <v>0</v>
      </c>
      <c r="O14" s="16">
        <f t="shared" si="2"/>
        <v>0</v>
      </c>
      <c r="P14" s="16">
        <f t="shared" si="3"/>
        <v>0</v>
      </c>
      <c r="Q14" s="16">
        <f t="shared" si="3"/>
        <v>0</v>
      </c>
      <c r="R14" s="39">
        <f t="shared" si="4"/>
        <v>4.1666666666666685E-2</v>
      </c>
      <c r="S14" s="39">
        <f t="shared" si="5"/>
        <v>4.1666666666666685E-2</v>
      </c>
    </row>
    <row r="15" spans="1:19" s="19" customFormat="1" ht="15.95" customHeight="1">
      <c r="A15" s="41">
        <f>MAX($A$4:A14)+1</f>
        <v>11</v>
      </c>
      <c r="B15" s="42">
        <v>0.27499999999999991</v>
      </c>
      <c r="C15" s="42">
        <f t="shared" si="8"/>
        <v>0.3166666666666666</v>
      </c>
      <c r="D15" s="42">
        <f t="shared" si="6"/>
        <v>5.5555555555555358E-3</v>
      </c>
      <c r="E15" s="42">
        <f t="shared" si="7"/>
        <v>5.5555555555555358E-3</v>
      </c>
      <c r="F15" s="42">
        <v>0.27222222222222214</v>
      </c>
      <c r="G15" s="42">
        <f t="shared" si="9"/>
        <v>0.31388888888888883</v>
      </c>
      <c r="H15" s="16">
        <f t="shared" si="10"/>
        <v>1.8055555555555436E-2</v>
      </c>
      <c r="I15" s="16">
        <f t="shared" ref="I15:I78" si="11">F15-C6</f>
        <v>2.2222222222222143E-2</v>
      </c>
      <c r="J15" s="15">
        <v>0.27499999999999991</v>
      </c>
      <c r="K15" s="15">
        <v>0.3166666666666666</v>
      </c>
      <c r="L15" s="15">
        <v>0.27222222222222214</v>
      </c>
      <c r="M15" s="45">
        <v>0.31388888888888883</v>
      </c>
      <c r="N15" s="16">
        <f t="shared" si="2"/>
        <v>0</v>
      </c>
      <c r="O15" s="16">
        <f t="shared" si="2"/>
        <v>0</v>
      </c>
      <c r="P15" s="16">
        <f t="shared" si="3"/>
        <v>0</v>
      </c>
      <c r="Q15" s="16">
        <f t="shared" si="3"/>
        <v>0</v>
      </c>
      <c r="R15" s="39">
        <f t="shared" si="4"/>
        <v>4.1666666666666685E-2</v>
      </c>
      <c r="S15" s="39">
        <f t="shared" si="5"/>
        <v>4.1666666666666685E-2</v>
      </c>
    </row>
    <row r="16" spans="1:19" s="19" customFormat="1" ht="15.95" customHeight="1">
      <c r="A16" s="41">
        <f>MAX($A$4:A15)+1</f>
        <v>12</v>
      </c>
      <c r="B16" s="42">
        <v>0.28055555555555545</v>
      </c>
      <c r="C16" s="42">
        <f t="shared" si="8"/>
        <v>0.32222222222222213</v>
      </c>
      <c r="D16" s="42">
        <f t="shared" si="6"/>
        <v>5.5555555555555358E-3</v>
      </c>
      <c r="E16" s="42">
        <f t="shared" si="7"/>
        <v>5.5555555555555358E-3</v>
      </c>
      <c r="F16" s="42">
        <v>0.27777777777777768</v>
      </c>
      <c r="G16" s="42">
        <f t="shared" si="9"/>
        <v>0.31944444444444436</v>
      </c>
      <c r="H16" s="16">
        <f t="shared" si="10"/>
        <v>1.6666666666666552E-2</v>
      </c>
      <c r="I16" s="16">
        <f t="shared" si="11"/>
        <v>2.0833333333333204E-2</v>
      </c>
      <c r="J16" s="15">
        <v>0.28055555555555545</v>
      </c>
      <c r="K16" s="15">
        <v>0.32222222222222213</v>
      </c>
      <c r="L16" s="15">
        <v>0.27777777777777768</v>
      </c>
      <c r="M16" s="45">
        <v>0.31944444444444436</v>
      </c>
      <c r="N16" s="16">
        <f t="shared" si="2"/>
        <v>0</v>
      </c>
      <c r="O16" s="16">
        <f t="shared" si="2"/>
        <v>0</v>
      </c>
      <c r="P16" s="16">
        <f t="shared" si="3"/>
        <v>0</v>
      </c>
      <c r="Q16" s="16">
        <f t="shared" si="3"/>
        <v>0</v>
      </c>
      <c r="R16" s="39">
        <f t="shared" si="4"/>
        <v>4.1666666666666685E-2</v>
      </c>
      <c r="S16" s="39">
        <f t="shared" si="5"/>
        <v>4.1666666666666685E-2</v>
      </c>
    </row>
    <row r="17" spans="1:19" s="19" customFormat="1" ht="15.95" customHeight="1">
      <c r="A17" s="41">
        <f>MAX($A$4:A16)+1</f>
        <v>13</v>
      </c>
      <c r="B17" s="42">
        <v>0.28611111111111098</v>
      </c>
      <c r="C17" s="42">
        <f t="shared" si="8"/>
        <v>0.32777777777777767</v>
      </c>
      <c r="D17" s="42">
        <f t="shared" si="6"/>
        <v>5.5555555555555358E-3</v>
      </c>
      <c r="E17" s="42">
        <f t="shared" si="7"/>
        <v>5.5555555555555358E-3</v>
      </c>
      <c r="F17" s="42">
        <v>0.28333333333333321</v>
      </c>
      <c r="G17" s="42">
        <f t="shared" si="9"/>
        <v>0.3249999999999999</v>
      </c>
      <c r="H17" s="16">
        <f t="shared" si="10"/>
        <v>1.5277777777777612E-2</v>
      </c>
      <c r="I17" s="16">
        <f t="shared" si="11"/>
        <v>1.944444444444432E-2</v>
      </c>
      <c r="J17" s="15">
        <v>0.28611111111111098</v>
      </c>
      <c r="K17" s="15">
        <v>0.32777777777777767</v>
      </c>
      <c r="L17" s="15">
        <v>0.28333333333333321</v>
      </c>
      <c r="M17" s="45">
        <v>0.3249999999999999</v>
      </c>
      <c r="N17" s="16">
        <f t="shared" si="2"/>
        <v>0</v>
      </c>
      <c r="O17" s="16">
        <f t="shared" si="2"/>
        <v>0</v>
      </c>
      <c r="P17" s="16">
        <f t="shared" si="3"/>
        <v>0</v>
      </c>
      <c r="Q17" s="16">
        <f t="shared" si="3"/>
        <v>0</v>
      </c>
      <c r="R17" s="39">
        <f t="shared" si="4"/>
        <v>4.1666666666666685E-2</v>
      </c>
      <c r="S17" s="39">
        <f t="shared" si="5"/>
        <v>4.1666666666666685E-2</v>
      </c>
    </row>
    <row r="18" spans="1:19" s="19" customFormat="1" ht="15.95" customHeight="1">
      <c r="A18" s="41">
        <f>MAX($A$4:A17)+1</f>
        <v>14</v>
      </c>
      <c r="B18" s="42">
        <v>0.29166666666666652</v>
      </c>
      <c r="C18" s="42">
        <f t="shared" si="8"/>
        <v>0.3333333333333332</v>
      </c>
      <c r="D18" s="42">
        <f t="shared" si="6"/>
        <v>5.5555555555555358E-3</v>
      </c>
      <c r="E18" s="42">
        <f t="shared" si="7"/>
        <v>5.5555555555555358E-3</v>
      </c>
      <c r="F18" s="42">
        <v>0.28888888888888875</v>
      </c>
      <c r="G18" s="42">
        <f t="shared" si="9"/>
        <v>0.33055555555555544</v>
      </c>
      <c r="H18" s="16">
        <f t="shared" si="10"/>
        <v>1.3888888888888729E-2</v>
      </c>
      <c r="I18" s="16">
        <f t="shared" si="11"/>
        <v>1.805555555555538E-2</v>
      </c>
      <c r="J18" s="15">
        <v>0.29166666666666652</v>
      </c>
      <c r="K18" s="15">
        <v>0.3333333333333332</v>
      </c>
      <c r="L18" s="15">
        <v>0.28888888888888875</v>
      </c>
      <c r="M18" s="45">
        <v>0.33055555555555544</v>
      </c>
      <c r="N18" s="16">
        <f t="shared" si="2"/>
        <v>0</v>
      </c>
      <c r="O18" s="16">
        <f t="shared" si="2"/>
        <v>0</v>
      </c>
      <c r="P18" s="16">
        <f t="shared" si="3"/>
        <v>0</v>
      </c>
      <c r="Q18" s="16">
        <f t="shared" si="3"/>
        <v>0</v>
      </c>
      <c r="R18" s="39">
        <f t="shared" si="4"/>
        <v>4.1666666666666685E-2</v>
      </c>
      <c r="S18" s="39">
        <f t="shared" si="5"/>
        <v>4.1666666666666685E-2</v>
      </c>
    </row>
    <row r="19" spans="1:19" s="19" customFormat="1" ht="15.95" customHeight="1">
      <c r="A19" s="41">
        <f>MAX($A$4:A18)+1</f>
        <v>15</v>
      </c>
      <c r="B19" s="42">
        <v>0.29722222222222205</v>
      </c>
      <c r="C19" s="42">
        <f t="shared" si="8"/>
        <v>0.33888888888888874</v>
      </c>
      <c r="D19" s="42">
        <f t="shared" si="6"/>
        <v>5.5555555555555358E-3</v>
      </c>
      <c r="E19" s="42">
        <f t="shared" si="7"/>
        <v>5.5555555555555358E-3</v>
      </c>
      <c r="F19" s="42">
        <v>0.29444444444444429</v>
      </c>
      <c r="G19" s="42">
        <f t="shared" si="9"/>
        <v>0.33611111111111097</v>
      </c>
      <c r="H19" s="16">
        <f t="shared" si="10"/>
        <v>5.5555555555553693E-3</v>
      </c>
      <c r="I19" s="16">
        <f t="shared" si="11"/>
        <v>1.6666666666666496E-2</v>
      </c>
      <c r="J19" s="15">
        <v>0.29722222222222205</v>
      </c>
      <c r="K19" s="15">
        <v>0.33888888888888874</v>
      </c>
      <c r="L19" s="15">
        <v>0.29444444444444429</v>
      </c>
      <c r="M19" s="45">
        <v>0.33611111111111097</v>
      </c>
      <c r="N19" s="16">
        <f t="shared" si="2"/>
        <v>0</v>
      </c>
      <c r="O19" s="16">
        <f t="shared" si="2"/>
        <v>0</v>
      </c>
      <c r="P19" s="16">
        <f t="shared" si="3"/>
        <v>0</v>
      </c>
      <c r="Q19" s="16">
        <f t="shared" si="3"/>
        <v>0</v>
      </c>
      <c r="R19" s="39">
        <f t="shared" si="4"/>
        <v>4.1666666666666685E-2</v>
      </c>
      <c r="S19" s="39">
        <f t="shared" si="5"/>
        <v>4.1666666666666685E-2</v>
      </c>
    </row>
    <row r="20" spans="1:19" s="19" customFormat="1" ht="15.95" customHeight="1">
      <c r="A20" s="41">
        <f>MAX($A$4:A19)+1</f>
        <v>16</v>
      </c>
      <c r="B20" s="42">
        <v>0.30277777777777759</v>
      </c>
      <c r="C20" s="42">
        <f t="shared" si="8"/>
        <v>0.34444444444444428</v>
      </c>
      <c r="D20" s="42">
        <f t="shared" si="6"/>
        <v>5.5555555555555358E-3</v>
      </c>
      <c r="E20" s="42">
        <f t="shared" si="7"/>
        <v>5.5555555555555358E-3</v>
      </c>
      <c r="F20" s="42">
        <v>0.29999999999999982</v>
      </c>
      <c r="G20" s="42">
        <f t="shared" si="9"/>
        <v>0.34166666666666651</v>
      </c>
      <c r="H20" s="16">
        <f t="shared" si="10"/>
        <v>5.5555555555553693E-3</v>
      </c>
      <c r="I20" s="16">
        <f t="shared" si="11"/>
        <v>8.3333333333331372E-3</v>
      </c>
      <c r="J20" s="15">
        <v>0.30277777777777759</v>
      </c>
      <c r="K20" s="15">
        <v>0.34444444444444428</v>
      </c>
      <c r="L20" s="15">
        <v>0.29999999999999982</v>
      </c>
      <c r="M20" s="45">
        <v>0.34166666666666651</v>
      </c>
      <c r="N20" s="16">
        <f t="shared" si="2"/>
        <v>0</v>
      </c>
      <c r="O20" s="16">
        <f t="shared" si="2"/>
        <v>0</v>
      </c>
      <c r="P20" s="16">
        <f t="shared" si="3"/>
        <v>0</v>
      </c>
      <c r="Q20" s="16">
        <f t="shared" si="3"/>
        <v>0</v>
      </c>
      <c r="R20" s="39">
        <f t="shared" si="4"/>
        <v>4.1666666666666685E-2</v>
      </c>
      <c r="S20" s="39">
        <f t="shared" si="5"/>
        <v>4.1666666666666685E-2</v>
      </c>
    </row>
    <row r="21" spans="1:19" s="19" customFormat="1" ht="15.95" customHeight="1">
      <c r="A21" s="41">
        <f>MAX($A$4:A20)+1</f>
        <v>17</v>
      </c>
      <c r="B21" s="42">
        <v>0.30833333333333313</v>
      </c>
      <c r="C21" s="42">
        <f t="shared" si="8"/>
        <v>0.34999999999999981</v>
      </c>
      <c r="D21" s="42">
        <f t="shared" si="6"/>
        <v>5.5555555555555358E-3</v>
      </c>
      <c r="E21" s="42">
        <f t="shared" si="7"/>
        <v>5.5555555555555358E-3</v>
      </c>
      <c r="F21" s="42">
        <v>0.30555555555555536</v>
      </c>
      <c r="G21" s="42">
        <f t="shared" si="9"/>
        <v>0.34722222222222204</v>
      </c>
      <c r="H21" s="16">
        <f t="shared" si="10"/>
        <v>5.5555555555553693E-3</v>
      </c>
      <c r="I21" s="16">
        <f t="shared" si="11"/>
        <v>6.9444444444442532E-3</v>
      </c>
      <c r="J21" s="15">
        <v>0.30833333333333313</v>
      </c>
      <c r="K21" s="15">
        <v>0.34999999999999981</v>
      </c>
      <c r="L21" s="15">
        <v>0.30555555555555536</v>
      </c>
      <c r="M21" s="45">
        <v>0.34722222222222204</v>
      </c>
      <c r="N21" s="16">
        <f t="shared" si="2"/>
        <v>0</v>
      </c>
      <c r="O21" s="16">
        <f t="shared" si="2"/>
        <v>0</v>
      </c>
      <c r="P21" s="16">
        <f t="shared" si="3"/>
        <v>0</v>
      </c>
      <c r="Q21" s="16">
        <f t="shared" si="3"/>
        <v>0</v>
      </c>
      <c r="R21" s="39">
        <f t="shared" si="4"/>
        <v>4.1666666666666685E-2</v>
      </c>
      <c r="S21" s="39">
        <f t="shared" si="5"/>
        <v>4.1666666666666685E-2</v>
      </c>
    </row>
    <row r="22" spans="1:19" s="19" customFormat="1" ht="15.95" customHeight="1">
      <c r="A22" s="41">
        <f>MAX($A$4:A21)+1</f>
        <v>18</v>
      </c>
      <c r="B22" s="42">
        <v>0.31388888888888866</v>
      </c>
      <c r="C22" s="42">
        <f t="shared" si="8"/>
        <v>0.35555555555555535</v>
      </c>
      <c r="D22" s="42">
        <f t="shared" si="6"/>
        <v>5.5555555555555358E-3</v>
      </c>
      <c r="E22" s="42">
        <f t="shared" si="7"/>
        <v>5.5555555555555358E-3</v>
      </c>
      <c r="F22" s="42">
        <v>0.31111111111111089</v>
      </c>
      <c r="G22" s="42">
        <f t="shared" si="9"/>
        <v>0.35277777777777758</v>
      </c>
      <c r="H22" s="16">
        <f t="shared" si="10"/>
        <v>5.5555555555553693E-3</v>
      </c>
      <c r="I22" s="16">
        <f t="shared" si="11"/>
        <v>5.5555555555553693E-3</v>
      </c>
      <c r="J22" s="15">
        <v>0.31388888888888866</v>
      </c>
      <c r="K22" s="15">
        <v>0.35555555555555535</v>
      </c>
      <c r="L22" s="15">
        <v>0.31111111111111089</v>
      </c>
      <c r="M22" s="45">
        <v>0.35277777777777758</v>
      </c>
      <c r="N22" s="16">
        <f t="shared" si="2"/>
        <v>0</v>
      </c>
      <c r="O22" s="16">
        <f t="shared" si="2"/>
        <v>0</v>
      </c>
      <c r="P22" s="16">
        <f t="shared" si="3"/>
        <v>0</v>
      </c>
      <c r="Q22" s="16">
        <f t="shared" si="3"/>
        <v>0</v>
      </c>
      <c r="R22" s="39">
        <f t="shared" si="4"/>
        <v>4.1666666666666685E-2</v>
      </c>
      <c r="S22" s="39">
        <f t="shared" si="5"/>
        <v>4.1666666666666685E-2</v>
      </c>
    </row>
    <row r="23" spans="1:19" s="19" customFormat="1" ht="15.95" customHeight="1">
      <c r="A23" s="41">
        <f>MAX($A$4:A22)+1</f>
        <v>19</v>
      </c>
      <c r="B23" s="42">
        <v>0.3194444444444442</v>
      </c>
      <c r="C23" s="42">
        <f t="shared" si="8"/>
        <v>0.36111111111111088</v>
      </c>
      <c r="D23" s="42">
        <f t="shared" si="6"/>
        <v>5.5555555555555358E-3</v>
      </c>
      <c r="E23" s="42">
        <f t="shared" si="7"/>
        <v>5.5555555555555358E-3</v>
      </c>
      <c r="F23" s="42">
        <v>0.31666666666666643</v>
      </c>
      <c r="G23" s="42">
        <f t="shared" si="9"/>
        <v>0.35833333333333311</v>
      </c>
      <c r="H23" s="16">
        <f t="shared" si="10"/>
        <v>5.5555555555553693E-3</v>
      </c>
      <c r="I23" s="16">
        <f t="shared" si="11"/>
        <v>5.5555555555553693E-3</v>
      </c>
      <c r="J23" s="15">
        <v>0.3194444444444442</v>
      </c>
      <c r="K23" s="15">
        <v>0.36111111111111088</v>
      </c>
      <c r="L23" s="15">
        <v>0.31666666666666643</v>
      </c>
      <c r="M23" s="45">
        <v>0.35833333333333311</v>
      </c>
      <c r="N23" s="16">
        <f t="shared" si="2"/>
        <v>0</v>
      </c>
      <c r="O23" s="16">
        <f t="shared" si="2"/>
        <v>0</v>
      </c>
      <c r="P23" s="16">
        <f t="shared" si="3"/>
        <v>0</v>
      </c>
      <c r="Q23" s="16">
        <f t="shared" si="3"/>
        <v>0</v>
      </c>
      <c r="R23" s="39">
        <f t="shared" si="4"/>
        <v>4.1666666666666685E-2</v>
      </c>
      <c r="S23" s="39">
        <f t="shared" si="5"/>
        <v>4.1666666666666685E-2</v>
      </c>
    </row>
    <row r="24" spans="1:19" s="19" customFormat="1" ht="15.95" customHeight="1">
      <c r="A24" s="41">
        <f>MAX($A$4:A23)+1</f>
        <v>20</v>
      </c>
      <c r="B24" s="42">
        <v>0.32499999999999973</v>
      </c>
      <c r="C24" s="42">
        <f t="shared" si="8"/>
        <v>0.36666666666666642</v>
      </c>
      <c r="D24" s="42">
        <f t="shared" si="6"/>
        <v>5.5555555555555358E-3</v>
      </c>
      <c r="E24" s="42">
        <f t="shared" si="7"/>
        <v>5.5555555555555358E-3</v>
      </c>
      <c r="F24" s="42">
        <v>0.32222222222222197</v>
      </c>
      <c r="G24" s="42">
        <f t="shared" si="9"/>
        <v>0.36388888888888865</v>
      </c>
      <c r="H24" s="16">
        <f t="shared" si="10"/>
        <v>5.5555555555553693E-3</v>
      </c>
      <c r="I24" s="16">
        <f t="shared" si="11"/>
        <v>5.5555555555553693E-3</v>
      </c>
      <c r="J24" s="15">
        <v>0.32499999999999973</v>
      </c>
      <c r="K24" s="15">
        <v>0.36666666666666642</v>
      </c>
      <c r="L24" s="15">
        <v>0.32222222222222197</v>
      </c>
      <c r="M24" s="45">
        <v>0.36388888888888865</v>
      </c>
      <c r="N24" s="16">
        <f t="shared" si="2"/>
        <v>0</v>
      </c>
      <c r="O24" s="16">
        <f t="shared" si="2"/>
        <v>0</v>
      </c>
      <c r="P24" s="16">
        <f t="shared" si="3"/>
        <v>0</v>
      </c>
      <c r="Q24" s="16">
        <f t="shared" si="3"/>
        <v>0</v>
      </c>
      <c r="R24" s="39">
        <f t="shared" si="4"/>
        <v>4.1666666666666685E-2</v>
      </c>
      <c r="S24" s="39">
        <f t="shared" si="5"/>
        <v>4.1666666666666685E-2</v>
      </c>
    </row>
    <row r="25" spans="1:19" s="19" customFormat="1" ht="15.95" customHeight="1">
      <c r="A25" s="41">
        <f>MAX($A$4:A24)+1</f>
        <v>21</v>
      </c>
      <c r="B25" s="42">
        <v>0.33055555555555527</v>
      </c>
      <c r="C25" s="42">
        <f t="shared" si="8"/>
        <v>0.37222222222222195</v>
      </c>
      <c r="D25" s="42">
        <f t="shared" si="6"/>
        <v>5.5555555555555358E-3</v>
      </c>
      <c r="E25" s="42">
        <f t="shared" si="7"/>
        <v>5.5555555555555358E-3</v>
      </c>
      <c r="F25" s="42">
        <v>0.3277777777777775</v>
      </c>
      <c r="G25" s="42">
        <f t="shared" si="9"/>
        <v>0.36944444444444419</v>
      </c>
      <c r="H25" s="16">
        <f t="shared" si="10"/>
        <v>5.5555555555553693E-3</v>
      </c>
      <c r="I25" s="16">
        <f t="shared" si="11"/>
        <v>5.5555555555553693E-3</v>
      </c>
      <c r="J25" s="15">
        <v>0.33055555555555527</v>
      </c>
      <c r="K25" s="15">
        <v>0.37222222222222195</v>
      </c>
      <c r="L25" s="15">
        <v>0.3277777777777775</v>
      </c>
      <c r="M25" s="45">
        <v>0.36944444444444419</v>
      </c>
      <c r="N25" s="16">
        <f t="shared" ref="N25:N88" si="12">J25-B25</f>
        <v>0</v>
      </c>
      <c r="O25" s="16">
        <f t="shared" ref="O25:O88" si="13">K25-C25</f>
        <v>0</v>
      </c>
      <c r="P25" s="16">
        <f t="shared" ref="P25:P88" si="14">L25-F25</f>
        <v>0</v>
      </c>
      <c r="Q25" s="16">
        <f t="shared" ref="Q25:Q88" si="15">M25-G25</f>
        <v>0</v>
      </c>
      <c r="R25" s="39">
        <f t="shared" si="4"/>
        <v>4.1666666666666685E-2</v>
      </c>
      <c r="S25" s="39">
        <f t="shared" si="5"/>
        <v>4.1666666666666685E-2</v>
      </c>
    </row>
    <row r="26" spans="1:19" s="19" customFormat="1" ht="15.95" customHeight="1">
      <c r="A26" s="41">
        <f>MAX($A$4:A25)+1</f>
        <v>22</v>
      </c>
      <c r="B26" s="42">
        <v>0.33611111111111081</v>
      </c>
      <c r="C26" s="42">
        <f t="shared" si="8"/>
        <v>0.37777777777777749</v>
      </c>
      <c r="D26" s="42">
        <f t="shared" si="6"/>
        <v>5.5555555555555358E-3</v>
      </c>
      <c r="E26" s="42">
        <f t="shared" si="7"/>
        <v>5.5555555555555358E-3</v>
      </c>
      <c r="F26" s="42">
        <v>0.33333333333333304</v>
      </c>
      <c r="G26" s="42">
        <f t="shared" si="9"/>
        <v>0.37499999999999972</v>
      </c>
      <c r="H26" s="16">
        <f t="shared" si="10"/>
        <v>5.5555555555553693E-3</v>
      </c>
      <c r="I26" s="16">
        <f t="shared" si="11"/>
        <v>5.5555555555553693E-3</v>
      </c>
      <c r="J26" s="15">
        <v>0.33611111111111081</v>
      </c>
      <c r="K26" s="15">
        <v>0.37777777777777749</v>
      </c>
      <c r="L26" s="15">
        <v>0.33333333333333304</v>
      </c>
      <c r="M26" s="45">
        <v>0.37499999999999972</v>
      </c>
      <c r="N26" s="16">
        <f t="shared" si="12"/>
        <v>0</v>
      </c>
      <c r="O26" s="16">
        <f t="shared" si="13"/>
        <v>0</v>
      </c>
      <c r="P26" s="16">
        <f t="shared" si="14"/>
        <v>0</v>
      </c>
      <c r="Q26" s="16">
        <f t="shared" si="15"/>
        <v>0</v>
      </c>
      <c r="R26" s="39">
        <f t="shared" si="4"/>
        <v>4.1666666666666685E-2</v>
      </c>
      <c r="S26" s="39">
        <f t="shared" si="5"/>
        <v>4.1666666666666685E-2</v>
      </c>
    </row>
    <row r="27" spans="1:19" s="19" customFormat="1" ht="15.95" customHeight="1">
      <c r="A27" s="41">
        <f>MAX($A$4:A26)+1</f>
        <v>23</v>
      </c>
      <c r="B27" s="42">
        <v>0.34166666666666634</v>
      </c>
      <c r="C27" s="42">
        <f t="shared" si="8"/>
        <v>0.38333333333333303</v>
      </c>
      <c r="D27" s="42">
        <f t="shared" si="6"/>
        <v>5.5555555555555358E-3</v>
      </c>
      <c r="E27" s="42">
        <f t="shared" si="7"/>
        <v>5.5555555555555358E-3</v>
      </c>
      <c r="F27" s="42">
        <v>0.33888888888888857</v>
      </c>
      <c r="G27" s="42">
        <f t="shared" si="9"/>
        <v>0.38055555555555526</v>
      </c>
      <c r="H27" s="16">
        <f t="shared" si="10"/>
        <v>5.5555555555553693E-3</v>
      </c>
      <c r="I27" s="16">
        <f t="shared" si="11"/>
        <v>5.5555555555553693E-3</v>
      </c>
      <c r="J27" s="15">
        <v>0.34166666666666634</v>
      </c>
      <c r="K27" s="15">
        <v>0.38333333333333303</v>
      </c>
      <c r="L27" s="15">
        <v>0.33888888888888857</v>
      </c>
      <c r="M27" s="45">
        <v>0.38055555555555526</v>
      </c>
      <c r="N27" s="16">
        <f t="shared" si="12"/>
        <v>0</v>
      </c>
      <c r="O27" s="16">
        <f t="shared" si="13"/>
        <v>0</v>
      </c>
      <c r="P27" s="16">
        <f t="shared" si="14"/>
        <v>0</v>
      </c>
      <c r="Q27" s="16">
        <f t="shared" si="15"/>
        <v>0</v>
      </c>
      <c r="R27" s="39">
        <f t="shared" si="4"/>
        <v>4.1666666666666685E-2</v>
      </c>
      <c r="S27" s="39">
        <f t="shared" si="5"/>
        <v>4.1666666666666685E-2</v>
      </c>
    </row>
    <row r="28" spans="1:19" s="19" customFormat="1" ht="15.95" customHeight="1">
      <c r="A28" s="41">
        <f>MAX($A$4:A27)+1</f>
        <v>24</v>
      </c>
      <c r="B28" s="42">
        <v>0.34861111111111076</v>
      </c>
      <c r="C28" s="42">
        <f t="shared" si="8"/>
        <v>0.39027777777777745</v>
      </c>
      <c r="D28" s="42">
        <f t="shared" si="6"/>
        <v>6.9444444444444198E-3</v>
      </c>
      <c r="E28" s="42">
        <f t="shared" si="7"/>
        <v>6.9444444444444198E-3</v>
      </c>
      <c r="F28" s="42">
        <v>0.34583333333333299</v>
      </c>
      <c r="G28" s="42">
        <f t="shared" si="9"/>
        <v>0.38749999999999968</v>
      </c>
      <c r="H28" s="16">
        <f t="shared" si="10"/>
        <v>6.9444444444442532E-3</v>
      </c>
      <c r="I28" s="16">
        <f t="shared" si="11"/>
        <v>6.9444444444442532E-3</v>
      </c>
      <c r="J28" s="15">
        <v>0.34861111111111076</v>
      </c>
      <c r="K28" s="15">
        <v>0.39027777777777745</v>
      </c>
      <c r="L28" s="15">
        <v>0.34583333333333299</v>
      </c>
      <c r="M28" s="45">
        <v>0.38749999999999968</v>
      </c>
      <c r="N28" s="16">
        <f t="shared" si="12"/>
        <v>0</v>
      </c>
      <c r="O28" s="16">
        <f t="shared" si="13"/>
        <v>0</v>
      </c>
      <c r="P28" s="16">
        <f t="shared" si="14"/>
        <v>0</v>
      </c>
      <c r="Q28" s="16">
        <f t="shared" si="15"/>
        <v>0</v>
      </c>
      <c r="R28" s="39">
        <f t="shared" si="4"/>
        <v>4.1666666666666685E-2</v>
      </c>
      <c r="S28" s="39">
        <f t="shared" si="5"/>
        <v>4.1666666666666685E-2</v>
      </c>
    </row>
    <row r="29" spans="1:19" s="19" customFormat="1" ht="15.95" customHeight="1">
      <c r="A29" s="41">
        <f>MAX($A$4:A28)+1</f>
        <v>25</v>
      </c>
      <c r="B29" s="42">
        <v>0.35555555555555518</v>
      </c>
      <c r="C29" s="42">
        <f t="shared" si="8"/>
        <v>0.39722222222222187</v>
      </c>
      <c r="D29" s="42">
        <f t="shared" si="6"/>
        <v>6.9444444444444198E-3</v>
      </c>
      <c r="E29" s="42">
        <f t="shared" si="7"/>
        <v>6.9444444444444198E-3</v>
      </c>
      <c r="F29" s="42">
        <v>0.35277777777777741</v>
      </c>
      <c r="G29" s="42">
        <f t="shared" si="9"/>
        <v>0.3944444444444441</v>
      </c>
      <c r="H29" s="16">
        <f t="shared" si="10"/>
        <v>8.3333333333331372E-3</v>
      </c>
      <c r="I29" s="16">
        <f t="shared" si="11"/>
        <v>8.3333333333331372E-3</v>
      </c>
      <c r="J29" s="15">
        <v>0.35555555555555518</v>
      </c>
      <c r="K29" s="15">
        <v>0.39722222222222187</v>
      </c>
      <c r="L29" s="15">
        <v>0.35277777777777741</v>
      </c>
      <c r="M29" s="45">
        <v>0.3944444444444441</v>
      </c>
      <c r="N29" s="16">
        <f t="shared" si="12"/>
        <v>0</v>
      </c>
      <c r="O29" s="16">
        <f t="shared" si="13"/>
        <v>0</v>
      </c>
      <c r="P29" s="16">
        <f t="shared" si="14"/>
        <v>0</v>
      </c>
      <c r="Q29" s="16">
        <f t="shared" si="15"/>
        <v>0</v>
      </c>
      <c r="R29" s="39">
        <f t="shared" si="4"/>
        <v>4.1666666666666685E-2</v>
      </c>
      <c r="S29" s="39">
        <f t="shared" si="5"/>
        <v>4.1666666666666685E-2</v>
      </c>
    </row>
    <row r="30" spans="1:19" s="19" customFormat="1" ht="15.95" customHeight="1">
      <c r="A30" s="41">
        <f>MAX($A$4:A29)+1</f>
        <v>26</v>
      </c>
      <c r="B30" s="42">
        <v>0.3624999999999996</v>
      </c>
      <c r="C30" s="42">
        <f t="shared" si="8"/>
        <v>0.40416666666666629</v>
      </c>
      <c r="D30" s="42">
        <f t="shared" si="6"/>
        <v>6.9444444444444198E-3</v>
      </c>
      <c r="E30" s="42">
        <f t="shared" si="7"/>
        <v>6.9444444444444198E-3</v>
      </c>
      <c r="F30" s="42">
        <v>0.35972222222222183</v>
      </c>
      <c r="G30" s="42">
        <f t="shared" si="9"/>
        <v>0.40138888888888852</v>
      </c>
      <c r="H30" s="16">
        <f t="shared" si="10"/>
        <v>9.7222222222220211E-3</v>
      </c>
      <c r="I30" s="16">
        <f t="shared" si="11"/>
        <v>9.7222222222220211E-3</v>
      </c>
      <c r="J30" s="15">
        <v>0.3624999999999996</v>
      </c>
      <c r="K30" s="15">
        <v>0.40416666666666629</v>
      </c>
      <c r="L30" s="15">
        <v>0.35972222222222183</v>
      </c>
      <c r="M30" s="45">
        <v>0.40138888888888852</v>
      </c>
      <c r="N30" s="16">
        <f t="shared" si="12"/>
        <v>0</v>
      </c>
      <c r="O30" s="16">
        <f t="shared" si="13"/>
        <v>0</v>
      </c>
      <c r="P30" s="16">
        <f t="shared" si="14"/>
        <v>0</v>
      </c>
      <c r="Q30" s="16">
        <f t="shared" si="15"/>
        <v>0</v>
      </c>
      <c r="R30" s="39">
        <f t="shared" si="4"/>
        <v>4.1666666666666685E-2</v>
      </c>
      <c r="S30" s="39">
        <f t="shared" si="5"/>
        <v>4.1666666666666685E-2</v>
      </c>
    </row>
    <row r="31" spans="1:19" s="19" customFormat="1" ht="15.95" customHeight="1">
      <c r="A31" s="41">
        <f>MAX($A$4:A30)+1</f>
        <v>27</v>
      </c>
      <c r="B31" s="42">
        <v>0.36944444444444402</v>
      </c>
      <c r="C31" s="42">
        <f t="shared" si="8"/>
        <v>0.41111111111111071</v>
      </c>
      <c r="D31" s="42">
        <f t="shared" si="6"/>
        <v>6.9444444444444198E-3</v>
      </c>
      <c r="E31" s="42">
        <f t="shared" si="7"/>
        <v>6.9444444444444198E-3</v>
      </c>
      <c r="F31" s="42">
        <v>0.36666666666666625</v>
      </c>
      <c r="G31" s="42">
        <f t="shared" si="9"/>
        <v>0.40833333333333294</v>
      </c>
      <c r="H31" s="16">
        <f t="shared" si="10"/>
        <v>1.1111111111110905E-2</v>
      </c>
      <c r="I31" s="16">
        <f t="shared" si="11"/>
        <v>1.1111111111110905E-2</v>
      </c>
      <c r="J31" s="15">
        <v>0.36944444444444402</v>
      </c>
      <c r="K31" s="15">
        <v>0.41111111111111071</v>
      </c>
      <c r="L31" s="15">
        <v>0.36666666666666625</v>
      </c>
      <c r="M31" s="45">
        <v>0.40833333333333294</v>
      </c>
      <c r="N31" s="16">
        <f t="shared" si="12"/>
        <v>0</v>
      </c>
      <c r="O31" s="16">
        <f t="shared" si="13"/>
        <v>0</v>
      </c>
      <c r="P31" s="16">
        <f t="shared" si="14"/>
        <v>0</v>
      </c>
      <c r="Q31" s="16">
        <f t="shared" si="15"/>
        <v>0</v>
      </c>
      <c r="R31" s="39">
        <f t="shared" si="4"/>
        <v>4.1666666666666685E-2</v>
      </c>
      <c r="S31" s="39">
        <f t="shared" si="5"/>
        <v>4.1666666666666685E-2</v>
      </c>
    </row>
    <row r="32" spans="1:19" s="19" customFormat="1" ht="15.95" customHeight="1">
      <c r="A32" s="41">
        <f>MAX($A$4:A31)+1</f>
        <v>28</v>
      </c>
      <c r="B32" s="42">
        <v>0.37638888888888844</v>
      </c>
      <c r="C32" s="42">
        <f t="shared" si="8"/>
        <v>0.41805555555555513</v>
      </c>
      <c r="D32" s="42">
        <f t="shared" si="6"/>
        <v>6.9444444444444198E-3</v>
      </c>
      <c r="E32" s="42">
        <f t="shared" si="7"/>
        <v>6.9444444444444198E-3</v>
      </c>
      <c r="F32" s="42">
        <v>0.37361111111111067</v>
      </c>
      <c r="G32" s="42">
        <f t="shared" si="9"/>
        <v>0.41527777777777736</v>
      </c>
      <c r="H32" s="16">
        <f t="shared" si="10"/>
        <v>1.2499999999999789E-2</v>
      </c>
      <c r="I32" s="16">
        <f t="shared" si="11"/>
        <v>1.2499999999999789E-2</v>
      </c>
      <c r="J32" s="15">
        <v>0.37638888888888844</v>
      </c>
      <c r="K32" s="15">
        <v>0.41805555555555513</v>
      </c>
      <c r="L32" s="15">
        <v>0.37361111111111067</v>
      </c>
      <c r="M32" s="45">
        <v>0.41527777777777736</v>
      </c>
      <c r="N32" s="16">
        <f t="shared" si="12"/>
        <v>0</v>
      </c>
      <c r="O32" s="16">
        <f t="shared" si="13"/>
        <v>0</v>
      </c>
      <c r="P32" s="16">
        <f t="shared" si="14"/>
        <v>0</v>
      </c>
      <c r="Q32" s="16">
        <f t="shared" si="15"/>
        <v>0</v>
      </c>
      <c r="R32" s="39">
        <f t="shared" si="4"/>
        <v>4.1666666666666685E-2</v>
      </c>
      <c r="S32" s="39">
        <f t="shared" si="5"/>
        <v>4.1666666666666685E-2</v>
      </c>
    </row>
    <row r="33" spans="1:19" s="19" customFormat="1" ht="15.95" customHeight="1">
      <c r="A33" s="41">
        <f>MAX($A$4:A32)+1</f>
        <v>29</v>
      </c>
      <c r="B33" s="42">
        <v>0.38333333333333286</v>
      </c>
      <c r="C33" s="42">
        <f t="shared" si="8"/>
        <v>0.42499999999999954</v>
      </c>
      <c r="D33" s="42">
        <f t="shared" si="6"/>
        <v>6.9444444444444198E-3</v>
      </c>
      <c r="E33" s="42">
        <f t="shared" si="7"/>
        <v>6.9444444444444198E-3</v>
      </c>
      <c r="F33" s="42">
        <v>0.38055555555555509</v>
      </c>
      <c r="G33" s="42">
        <f t="shared" si="9"/>
        <v>0.42222222222222178</v>
      </c>
      <c r="H33" s="16">
        <f t="shared" si="10"/>
        <v>1.3888888888888673E-2</v>
      </c>
      <c r="I33" s="16">
        <f t="shared" si="11"/>
        <v>1.3888888888888673E-2</v>
      </c>
      <c r="J33" s="15">
        <v>0.38333333333333286</v>
      </c>
      <c r="K33" s="15">
        <v>0.42499999999999954</v>
      </c>
      <c r="L33" s="15">
        <v>0.38055555555555509</v>
      </c>
      <c r="M33" s="45">
        <v>0.42222222222222178</v>
      </c>
      <c r="N33" s="16">
        <f t="shared" si="12"/>
        <v>0</v>
      </c>
      <c r="O33" s="16">
        <f t="shared" si="13"/>
        <v>0</v>
      </c>
      <c r="P33" s="16">
        <f t="shared" si="14"/>
        <v>0</v>
      </c>
      <c r="Q33" s="16">
        <f t="shared" si="15"/>
        <v>0</v>
      </c>
      <c r="R33" s="39">
        <f t="shared" si="4"/>
        <v>4.1666666666666685E-2</v>
      </c>
      <c r="S33" s="39">
        <f t="shared" si="5"/>
        <v>4.1666666666666685E-2</v>
      </c>
    </row>
    <row r="34" spans="1:19" s="19" customFormat="1" ht="15.95" customHeight="1">
      <c r="A34" s="41">
        <f>MAX($A$4:A33)+1</f>
        <v>30</v>
      </c>
      <c r="B34" s="42">
        <v>0.39027777777777728</v>
      </c>
      <c r="C34" s="42">
        <f t="shared" si="8"/>
        <v>0.43194444444444396</v>
      </c>
      <c r="D34" s="42">
        <f t="shared" si="6"/>
        <v>6.9444444444444198E-3</v>
      </c>
      <c r="E34" s="42">
        <f t="shared" si="7"/>
        <v>6.9444444444444198E-3</v>
      </c>
      <c r="F34" s="42">
        <v>0.38749999999999951</v>
      </c>
      <c r="G34" s="42">
        <f t="shared" si="9"/>
        <v>0.4291666666666662</v>
      </c>
      <c r="H34" s="16">
        <f t="shared" si="10"/>
        <v>1.5277777777777557E-2</v>
      </c>
      <c r="I34" s="16">
        <f t="shared" si="11"/>
        <v>1.5277777777777557E-2</v>
      </c>
      <c r="J34" s="15">
        <v>0.39027777777777728</v>
      </c>
      <c r="K34" s="15">
        <v>0.43194444444444396</v>
      </c>
      <c r="L34" s="15">
        <v>0.38749999999999951</v>
      </c>
      <c r="M34" s="45">
        <v>0.4291666666666662</v>
      </c>
      <c r="N34" s="16">
        <f t="shared" si="12"/>
        <v>0</v>
      </c>
      <c r="O34" s="16">
        <f t="shared" si="13"/>
        <v>0</v>
      </c>
      <c r="P34" s="16">
        <f t="shared" si="14"/>
        <v>0</v>
      </c>
      <c r="Q34" s="16">
        <f t="shared" si="15"/>
        <v>0</v>
      </c>
      <c r="R34" s="39">
        <f t="shared" si="4"/>
        <v>4.1666666666666685E-2</v>
      </c>
      <c r="S34" s="39">
        <f t="shared" si="5"/>
        <v>4.1666666666666685E-2</v>
      </c>
    </row>
    <row r="35" spans="1:19" s="19" customFormat="1" ht="15.95" customHeight="1">
      <c r="A35" s="41">
        <f>MAX($A$4:A34)+1</f>
        <v>31</v>
      </c>
      <c r="B35" s="42">
        <v>0.3972222222222217</v>
      </c>
      <c r="C35" s="42">
        <f t="shared" si="8"/>
        <v>0.43888888888888838</v>
      </c>
      <c r="D35" s="42">
        <f t="shared" si="6"/>
        <v>6.9444444444444198E-3</v>
      </c>
      <c r="E35" s="42">
        <f t="shared" si="7"/>
        <v>6.9444444444444198E-3</v>
      </c>
      <c r="F35" s="42">
        <v>0.39444444444444393</v>
      </c>
      <c r="G35" s="42">
        <f t="shared" si="9"/>
        <v>0.43611111111111062</v>
      </c>
      <c r="H35" s="16">
        <f t="shared" si="10"/>
        <v>1.6666666666666441E-2</v>
      </c>
      <c r="I35" s="16">
        <f t="shared" si="11"/>
        <v>1.6666666666666441E-2</v>
      </c>
      <c r="J35" s="15">
        <v>0.3972222222222217</v>
      </c>
      <c r="K35" s="15">
        <v>0.43888888888888838</v>
      </c>
      <c r="L35" s="15">
        <v>0.39444444444444393</v>
      </c>
      <c r="M35" s="45">
        <v>0.43611111111111062</v>
      </c>
      <c r="N35" s="16">
        <f t="shared" si="12"/>
        <v>0</v>
      </c>
      <c r="O35" s="16">
        <f t="shared" si="13"/>
        <v>0</v>
      </c>
      <c r="P35" s="16">
        <f t="shared" si="14"/>
        <v>0</v>
      </c>
      <c r="Q35" s="16">
        <f t="shared" si="15"/>
        <v>0</v>
      </c>
      <c r="R35" s="39">
        <f t="shared" si="4"/>
        <v>4.1666666666666685E-2</v>
      </c>
      <c r="S35" s="39">
        <f t="shared" si="5"/>
        <v>4.1666666666666685E-2</v>
      </c>
    </row>
    <row r="36" spans="1:19" s="19" customFormat="1" ht="15.95" customHeight="1">
      <c r="A36" s="41">
        <f>MAX($A$4:A35)+1</f>
        <v>32</v>
      </c>
      <c r="B36" s="42">
        <v>0.40416666666666612</v>
      </c>
      <c r="C36" s="42">
        <f t="shared" si="8"/>
        <v>0.4458333333333328</v>
      </c>
      <c r="D36" s="42">
        <f t="shared" si="6"/>
        <v>6.9444444444444198E-3</v>
      </c>
      <c r="E36" s="42">
        <f t="shared" si="7"/>
        <v>6.9444444444444198E-3</v>
      </c>
      <c r="F36" s="42">
        <v>0.40138888888888835</v>
      </c>
      <c r="G36" s="42">
        <f t="shared" si="9"/>
        <v>0.44305555555555504</v>
      </c>
      <c r="H36" s="16">
        <f t="shared" si="10"/>
        <v>1.6666666666666441E-2</v>
      </c>
      <c r="I36" s="16">
        <f t="shared" si="11"/>
        <v>1.8055555555555325E-2</v>
      </c>
      <c r="J36" s="15">
        <v>0.40416666666666612</v>
      </c>
      <c r="K36" s="15">
        <v>0.4458333333333328</v>
      </c>
      <c r="L36" s="15">
        <v>0.40138888888888835</v>
      </c>
      <c r="M36" s="45">
        <v>0.44305555555555504</v>
      </c>
      <c r="N36" s="16">
        <f t="shared" si="12"/>
        <v>0</v>
      </c>
      <c r="O36" s="16">
        <f t="shared" si="13"/>
        <v>0</v>
      </c>
      <c r="P36" s="16">
        <f t="shared" si="14"/>
        <v>0</v>
      </c>
      <c r="Q36" s="16">
        <f t="shared" si="15"/>
        <v>0</v>
      </c>
      <c r="R36" s="39">
        <f t="shared" si="4"/>
        <v>4.1666666666666685E-2</v>
      </c>
      <c r="S36" s="39">
        <f t="shared" si="5"/>
        <v>4.1666666666666685E-2</v>
      </c>
    </row>
    <row r="37" spans="1:19" s="19" customFormat="1" ht="15.95" customHeight="1">
      <c r="A37" s="41">
        <f>MAX($A$4:A36)+1</f>
        <v>33</v>
      </c>
      <c r="B37" s="42">
        <v>0.41111111111111054</v>
      </c>
      <c r="C37" s="42">
        <f t="shared" si="8"/>
        <v>0.45277777777777722</v>
      </c>
      <c r="D37" s="42">
        <f t="shared" si="6"/>
        <v>6.9444444444444198E-3</v>
      </c>
      <c r="E37" s="42">
        <f t="shared" si="7"/>
        <v>6.9444444444444198E-3</v>
      </c>
      <c r="F37" s="42">
        <v>0.40833333333333277</v>
      </c>
      <c r="G37" s="42">
        <f t="shared" si="9"/>
        <v>0.44999999999999946</v>
      </c>
      <c r="H37" s="16">
        <f t="shared" si="10"/>
        <v>1.6666666666666441E-2</v>
      </c>
      <c r="I37" s="16">
        <f t="shared" si="11"/>
        <v>1.8055555555555325E-2</v>
      </c>
      <c r="J37" s="15">
        <v>0.41111111111111054</v>
      </c>
      <c r="K37" s="15">
        <v>0.45277777777777722</v>
      </c>
      <c r="L37" s="15">
        <v>0.40833333333333277</v>
      </c>
      <c r="M37" s="45">
        <v>0.44999999999999946</v>
      </c>
      <c r="N37" s="16">
        <f t="shared" si="12"/>
        <v>0</v>
      </c>
      <c r="O37" s="16">
        <f t="shared" si="13"/>
        <v>0</v>
      </c>
      <c r="P37" s="16">
        <f t="shared" si="14"/>
        <v>0</v>
      </c>
      <c r="Q37" s="16">
        <f t="shared" si="15"/>
        <v>0</v>
      </c>
      <c r="R37" s="39">
        <f t="shared" si="4"/>
        <v>4.1666666666666685E-2</v>
      </c>
      <c r="S37" s="39">
        <f t="shared" si="5"/>
        <v>4.1666666666666685E-2</v>
      </c>
    </row>
    <row r="38" spans="1:19" s="19" customFormat="1" ht="15.95" customHeight="1">
      <c r="A38" s="41">
        <f>MAX($A$4:A37)+1</f>
        <v>34</v>
      </c>
      <c r="B38" s="42">
        <v>0.41805555555555496</v>
      </c>
      <c r="C38" s="42">
        <f t="shared" si="8"/>
        <v>0.45972222222222164</v>
      </c>
      <c r="D38" s="42">
        <f t="shared" si="6"/>
        <v>6.9444444444444198E-3</v>
      </c>
      <c r="E38" s="42">
        <f t="shared" si="7"/>
        <v>6.9444444444444198E-3</v>
      </c>
      <c r="F38" s="42">
        <v>0.41527777777777719</v>
      </c>
      <c r="G38" s="42">
        <f t="shared" si="9"/>
        <v>0.45694444444444388</v>
      </c>
      <c r="H38" s="16">
        <f t="shared" si="10"/>
        <v>1.6666666666666441E-2</v>
      </c>
      <c r="I38" s="16">
        <f t="shared" si="11"/>
        <v>1.8055555555555325E-2</v>
      </c>
      <c r="J38" s="15">
        <v>0.41805555555555496</v>
      </c>
      <c r="K38" s="15">
        <v>0.45972222222222164</v>
      </c>
      <c r="L38" s="15">
        <v>0.41527777777777719</v>
      </c>
      <c r="M38" s="45">
        <v>0.45694444444444388</v>
      </c>
      <c r="N38" s="16">
        <f t="shared" si="12"/>
        <v>0</v>
      </c>
      <c r="O38" s="16">
        <f t="shared" si="13"/>
        <v>0</v>
      </c>
      <c r="P38" s="16">
        <f t="shared" si="14"/>
        <v>0</v>
      </c>
      <c r="Q38" s="16">
        <f t="shared" si="15"/>
        <v>0</v>
      </c>
      <c r="R38" s="39">
        <f t="shared" si="4"/>
        <v>4.1666666666666685E-2</v>
      </c>
      <c r="S38" s="39">
        <f t="shared" si="5"/>
        <v>4.1666666666666685E-2</v>
      </c>
    </row>
    <row r="39" spans="1:19" s="19" customFormat="1" ht="15.95" customHeight="1">
      <c r="A39" s="41">
        <f>MAX($A$4:A38)+1</f>
        <v>35</v>
      </c>
      <c r="B39" s="42">
        <v>0.42499999999999938</v>
      </c>
      <c r="C39" s="42">
        <f t="shared" si="8"/>
        <v>0.46666666666666606</v>
      </c>
      <c r="D39" s="42">
        <f t="shared" si="6"/>
        <v>6.9444444444444198E-3</v>
      </c>
      <c r="E39" s="42">
        <f t="shared" si="7"/>
        <v>6.9444444444444198E-3</v>
      </c>
      <c r="F39" s="42">
        <v>0.42222222222222161</v>
      </c>
      <c r="G39" s="42">
        <f t="shared" si="9"/>
        <v>0.4638888888888883</v>
      </c>
      <c r="H39" s="16">
        <f t="shared" si="10"/>
        <v>1.6666666666666441E-2</v>
      </c>
      <c r="I39" s="16">
        <f t="shared" si="11"/>
        <v>1.8055555555555325E-2</v>
      </c>
      <c r="J39" s="15">
        <v>0.42499999999999938</v>
      </c>
      <c r="K39" s="15">
        <v>0.46666666666666606</v>
      </c>
      <c r="L39" s="15">
        <v>0.42222222222222161</v>
      </c>
      <c r="M39" s="45">
        <v>0.4638888888888883</v>
      </c>
      <c r="N39" s="16">
        <f t="shared" si="12"/>
        <v>0</v>
      </c>
      <c r="O39" s="16">
        <f t="shared" si="13"/>
        <v>0</v>
      </c>
      <c r="P39" s="16">
        <f t="shared" si="14"/>
        <v>0</v>
      </c>
      <c r="Q39" s="16">
        <f t="shared" si="15"/>
        <v>0</v>
      </c>
      <c r="R39" s="39">
        <f t="shared" si="4"/>
        <v>4.1666666666666685E-2</v>
      </c>
      <c r="S39" s="39">
        <f t="shared" si="5"/>
        <v>4.1666666666666685E-2</v>
      </c>
    </row>
    <row r="40" spans="1:19" s="19" customFormat="1" ht="15.95" customHeight="1">
      <c r="A40" s="41">
        <f>MAX($A$4:A39)+1</f>
        <v>36</v>
      </c>
      <c r="B40" s="42">
        <v>0.4319444444444438</v>
      </c>
      <c r="C40" s="42">
        <f t="shared" si="8"/>
        <v>0.47361111111111048</v>
      </c>
      <c r="D40" s="42">
        <f t="shared" si="6"/>
        <v>6.9444444444444198E-3</v>
      </c>
      <c r="E40" s="42">
        <f t="shared" si="7"/>
        <v>6.9444444444444198E-3</v>
      </c>
      <c r="F40" s="42">
        <v>0.42916666666666603</v>
      </c>
      <c r="G40" s="42">
        <f t="shared" si="9"/>
        <v>0.47083333333333272</v>
      </c>
      <c r="H40" s="16">
        <f t="shared" si="10"/>
        <v>1.6666666666666441E-2</v>
      </c>
      <c r="I40" s="16">
        <f t="shared" si="11"/>
        <v>1.8055555555555325E-2</v>
      </c>
      <c r="J40" s="15">
        <v>0.4319444444444438</v>
      </c>
      <c r="K40" s="15">
        <v>0.47361111111111048</v>
      </c>
      <c r="L40" s="15">
        <v>0.42916666666666603</v>
      </c>
      <c r="M40" s="45">
        <v>0.47083333333333272</v>
      </c>
      <c r="N40" s="16">
        <f t="shared" si="12"/>
        <v>0</v>
      </c>
      <c r="O40" s="16">
        <f t="shared" si="13"/>
        <v>0</v>
      </c>
      <c r="P40" s="16">
        <f t="shared" si="14"/>
        <v>0</v>
      </c>
      <c r="Q40" s="16">
        <f t="shared" si="15"/>
        <v>0</v>
      </c>
      <c r="R40" s="39">
        <f t="shared" si="4"/>
        <v>4.1666666666666685E-2</v>
      </c>
      <c r="S40" s="39">
        <f t="shared" si="5"/>
        <v>4.1666666666666685E-2</v>
      </c>
    </row>
    <row r="41" spans="1:19" s="19" customFormat="1" ht="15.95" customHeight="1">
      <c r="A41" s="41">
        <f>MAX($A$4:A40)+1</f>
        <v>37</v>
      </c>
      <c r="B41" s="42">
        <v>0.43888888888888822</v>
      </c>
      <c r="C41" s="42">
        <f t="shared" si="8"/>
        <v>0.4805555555555549</v>
      </c>
      <c r="D41" s="42">
        <f t="shared" si="6"/>
        <v>6.9444444444444198E-3</v>
      </c>
      <c r="E41" s="42">
        <f t="shared" si="7"/>
        <v>6.9444444444444198E-3</v>
      </c>
      <c r="F41" s="42">
        <v>0.43611111111111045</v>
      </c>
      <c r="G41" s="42">
        <f t="shared" si="9"/>
        <v>0.47777777777777714</v>
      </c>
      <c r="H41" s="16">
        <f t="shared" si="10"/>
        <v>1.6666666666666441E-2</v>
      </c>
      <c r="I41" s="16">
        <f t="shared" si="11"/>
        <v>1.8055555555555325E-2</v>
      </c>
      <c r="J41" s="15">
        <v>0.43888888888888822</v>
      </c>
      <c r="K41" s="15">
        <v>0.4805555555555549</v>
      </c>
      <c r="L41" s="15">
        <v>0.43611111111111045</v>
      </c>
      <c r="M41" s="45">
        <v>0.47777777777777714</v>
      </c>
      <c r="N41" s="16">
        <f t="shared" si="12"/>
        <v>0</v>
      </c>
      <c r="O41" s="16">
        <f t="shared" si="13"/>
        <v>0</v>
      </c>
      <c r="P41" s="16">
        <f t="shared" si="14"/>
        <v>0</v>
      </c>
      <c r="Q41" s="16">
        <f t="shared" si="15"/>
        <v>0</v>
      </c>
      <c r="R41" s="39">
        <f t="shared" si="4"/>
        <v>4.1666666666666685E-2</v>
      </c>
      <c r="S41" s="39">
        <f t="shared" si="5"/>
        <v>4.1666666666666685E-2</v>
      </c>
    </row>
    <row r="42" spans="1:19" s="19" customFormat="1" ht="15.95" customHeight="1">
      <c r="A42" s="41">
        <f>MAX($A$4:A41)+1</f>
        <v>38</v>
      </c>
      <c r="B42" s="42">
        <v>0.44583333333333264</v>
      </c>
      <c r="C42" s="42">
        <f t="shared" si="8"/>
        <v>0.48749999999999932</v>
      </c>
      <c r="D42" s="42">
        <f t="shared" si="6"/>
        <v>6.9444444444444198E-3</v>
      </c>
      <c r="E42" s="42">
        <f t="shared" si="7"/>
        <v>6.9444444444444198E-3</v>
      </c>
      <c r="F42" s="42">
        <v>0.44305555555555487</v>
      </c>
      <c r="G42" s="42">
        <f t="shared" si="9"/>
        <v>0.48472222222222155</v>
      </c>
      <c r="H42" s="16">
        <f t="shared" si="10"/>
        <v>1.6666666666666441E-2</v>
      </c>
      <c r="I42" s="16">
        <f t="shared" si="11"/>
        <v>1.8055555555555325E-2</v>
      </c>
      <c r="J42" s="15">
        <v>0.44583333333333264</v>
      </c>
      <c r="K42" s="15">
        <v>0.48749999999999932</v>
      </c>
      <c r="L42" s="15">
        <v>0.44305555555555487</v>
      </c>
      <c r="M42" s="45">
        <v>0.48472222222222155</v>
      </c>
      <c r="N42" s="16">
        <f t="shared" si="12"/>
        <v>0</v>
      </c>
      <c r="O42" s="16">
        <f t="shared" si="13"/>
        <v>0</v>
      </c>
      <c r="P42" s="16">
        <f t="shared" si="14"/>
        <v>0</v>
      </c>
      <c r="Q42" s="16">
        <f t="shared" si="15"/>
        <v>0</v>
      </c>
      <c r="R42" s="39">
        <f t="shared" si="4"/>
        <v>4.1666666666666685E-2</v>
      </c>
      <c r="S42" s="39">
        <f t="shared" si="5"/>
        <v>4.1666666666666685E-2</v>
      </c>
    </row>
    <row r="43" spans="1:19" s="19" customFormat="1" ht="15.95" customHeight="1">
      <c r="A43" s="41">
        <f>MAX($A$4:A42)+1</f>
        <v>39</v>
      </c>
      <c r="B43" s="42">
        <v>0.45277777777777706</v>
      </c>
      <c r="C43" s="42">
        <f t="shared" ref="C43:C74" si="16">B43+$H$3</f>
        <v>0.49444444444444374</v>
      </c>
      <c r="D43" s="42">
        <f t="shared" si="6"/>
        <v>6.9444444444444198E-3</v>
      </c>
      <c r="E43" s="42">
        <f t="shared" si="7"/>
        <v>6.9444444444444198E-3</v>
      </c>
      <c r="F43" s="42">
        <v>0.44999999999999929</v>
      </c>
      <c r="G43" s="42">
        <f t="shared" ref="G43:G74" si="17">F43+$H$3</f>
        <v>0.49166666666666597</v>
      </c>
      <c r="H43" s="16">
        <f t="shared" si="10"/>
        <v>1.6666666666666441E-2</v>
      </c>
      <c r="I43" s="16">
        <f t="shared" si="11"/>
        <v>1.8055555555555325E-2</v>
      </c>
      <c r="J43" s="15">
        <v>0.45277777777777706</v>
      </c>
      <c r="K43" s="15">
        <v>0.49444444444444374</v>
      </c>
      <c r="L43" s="15">
        <v>0.44999999999999929</v>
      </c>
      <c r="M43" s="45">
        <v>0.49166666666666597</v>
      </c>
      <c r="N43" s="16">
        <f t="shared" si="12"/>
        <v>0</v>
      </c>
      <c r="O43" s="16">
        <f t="shared" si="13"/>
        <v>0</v>
      </c>
      <c r="P43" s="16">
        <f t="shared" si="14"/>
        <v>0</v>
      </c>
      <c r="Q43" s="16">
        <f t="shared" si="15"/>
        <v>0</v>
      </c>
      <c r="R43" s="39">
        <f t="shared" si="4"/>
        <v>4.1666666666666685E-2</v>
      </c>
      <c r="S43" s="39">
        <f t="shared" si="5"/>
        <v>4.1666666666666685E-2</v>
      </c>
    </row>
    <row r="44" spans="1:19" s="19" customFormat="1" ht="15.95" customHeight="1">
      <c r="A44" s="41">
        <f>MAX($A$4:A43)+1</f>
        <v>40</v>
      </c>
      <c r="B44" s="42">
        <v>0.45972222222222148</v>
      </c>
      <c r="C44" s="42">
        <f t="shared" si="16"/>
        <v>0.50138888888888811</v>
      </c>
      <c r="D44" s="42">
        <f t="shared" si="6"/>
        <v>6.9444444444444198E-3</v>
      </c>
      <c r="E44" s="42">
        <f t="shared" si="7"/>
        <v>6.9444444444444198E-3</v>
      </c>
      <c r="F44" s="42">
        <v>0.45694444444444371</v>
      </c>
      <c r="G44" s="42">
        <f t="shared" si="17"/>
        <v>0.49861111111111039</v>
      </c>
      <c r="H44" s="16">
        <f t="shared" si="10"/>
        <v>1.6666666666666441E-2</v>
      </c>
      <c r="I44" s="16">
        <f t="shared" si="11"/>
        <v>1.8055555555555325E-2</v>
      </c>
      <c r="J44" s="15">
        <v>0.45972222222222148</v>
      </c>
      <c r="K44" s="15">
        <v>0.50138888888888811</v>
      </c>
      <c r="L44" s="15">
        <v>0.45694444444444371</v>
      </c>
      <c r="M44" s="45">
        <v>0.49861111111111039</v>
      </c>
      <c r="N44" s="16">
        <f t="shared" si="12"/>
        <v>0</v>
      </c>
      <c r="O44" s="16">
        <f t="shared" si="13"/>
        <v>0</v>
      </c>
      <c r="P44" s="16">
        <f t="shared" si="14"/>
        <v>0</v>
      </c>
      <c r="Q44" s="16">
        <f t="shared" si="15"/>
        <v>0</v>
      </c>
      <c r="R44" s="39">
        <f t="shared" si="4"/>
        <v>4.166666666666663E-2</v>
      </c>
      <c r="S44" s="39">
        <f t="shared" si="5"/>
        <v>4.1666666666666685E-2</v>
      </c>
    </row>
    <row r="45" spans="1:19" s="19" customFormat="1" ht="15.95" customHeight="1">
      <c r="A45" s="41">
        <f>MAX($A$4:A44)+1</f>
        <v>41</v>
      </c>
      <c r="B45" s="42">
        <v>0.4666666666666659</v>
      </c>
      <c r="C45" s="42">
        <f t="shared" si="16"/>
        <v>0.50833333333333253</v>
      </c>
      <c r="D45" s="42">
        <f t="shared" si="6"/>
        <v>6.9444444444444198E-3</v>
      </c>
      <c r="E45" s="42">
        <f t="shared" si="7"/>
        <v>6.9444444444444198E-3</v>
      </c>
      <c r="F45" s="42">
        <v>0.46388888888888813</v>
      </c>
      <c r="G45" s="42">
        <f t="shared" si="17"/>
        <v>0.50555555555555476</v>
      </c>
      <c r="H45" s="16">
        <f t="shared" si="10"/>
        <v>1.6666666666666441E-2</v>
      </c>
      <c r="I45" s="16">
        <f t="shared" si="11"/>
        <v>1.8055555555555325E-2</v>
      </c>
      <c r="J45" s="15">
        <v>0.4666666666666659</v>
      </c>
      <c r="K45" s="15">
        <v>0.50833333333333253</v>
      </c>
      <c r="L45" s="15">
        <v>0.46388888888888813</v>
      </c>
      <c r="M45" s="45">
        <v>0.50555555555555476</v>
      </c>
      <c r="N45" s="16">
        <f t="shared" si="12"/>
        <v>0</v>
      </c>
      <c r="O45" s="16">
        <f t="shared" si="13"/>
        <v>0</v>
      </c>
      <c r="P45" s="16">
        <f t="shared" si="14"/>
        <v>0</v>
      </c>
      <c r="Q45" s="16">
        <f t="shared" si="15"/>
        <v>0</v>
      </c>
      <c r="R45" s="39">
        <f t="shared" si="4"/>
        <v>4.166666666666663E-2</v>
      </c>
      <c r="S45" s="39">
        <f t="shared" si="5"/>
        <v>4.166666666666663E-2</v>
      </c>
    </row>
    <row r="46" spans="1:19" s="19" customFormat="1" ht="15.95" customHeight="1">
      <c r="A46" s="41">
        <f>MAX($A$4:A45)+1</f>
        <v>42</v>
      </c>
      <c r="B46" s="42">
        <v>0.47361111111111032</v>
      </c>
      <c r="C46" s="42">
        <f t="shared" si="16"/>
        <v>0.51527777777777695</v>
      </c>
      <c r="D46" s="42">
        <f t="shared" si="6"/>
        <v>6.9444444444444198E-3</v>
      </c>
      <c r="E46" s="42">
        <f t="shared" si="7"/>
        <v>6.9444444444444198E-3</v>
      </c>
      <c r="F46" s="42">
        <v>0.47083333333333255</v>
      </c>
      <c r="G46" s="42">
        <f t="shared" si="17"/>
        <v>0.51249999999999918</v>
      </c>
      <c r="H46" s="16">
        <f t="shared" si="10"/>
        <v>1.6666666666666441E-2</v>
      </c>
      <c r="I46" s="16">
        <f t="shared" si="11"/>
        <v>1.8055555555555325E-2</v>
      </c>
      <c r="J46" s="15">
        <v>0.47361111111111032</v>
      </c>
      <c r="K46" s="15">
        <v>0.51527777777777695</v>
      </c>
      <c r="L46" s="15">
        <v>0.47083333333333255</v>
      </c>
      <c r="M46" s="45">
        <v>0.51249999999999918</v>
      </c>
      <c r="N46" s="16">
        <f t="shared" si="12"/>
        <v>0</v>
      </c>
      <c r="O46" s="16">
        <f t="shared" si="13"/>
        <v>0</v>
      </c>
      <c r="P46" s="16">
        <f t="shared" si="14"/>
        <v>0</v>
      </c>
      <c r="Q46" s="16">
        <f t="shared" si="15"/>
        <v>0</v>
      </c>
      <c r="R46" s="39">
        <f t="shared" si="4"/>
        <v>4.166666666666663E-2</v>
      </c>
      <c r="S46" s="39">
        <f t="shared" si="5"/>
        <v>4.166666666666663E-2</v>
      </c>
    </row>
    <row r="47" spans="1:19" s="19" customFormat="1" ht="15.95" customHeight="1">
      <c r="A47" s="41">
        <f>MAX($A$4:A46)+1</f>
        <v>43</v>
      </c>
      <c r="B47" s="42">
        <v>0.47916666666666585</v>
      </c>
      <c r="C47" s="42">
        <f t="shared" si="16"/>
        <v>0.52083333333333248</v>
      </c>
      <c r="D47" s="42">
        <f t="shared" si="6"/>
        <v>5.5555555555555358E-3</v>
      </c>
      <c r="E47" s="42">
        <f t="shared" si="7"/>
        <v>5.5555555555555358E-3</v>
      </c>
      <c r="F47" s="42">
        <v>0.47638888888888808</v>
      </c>
      <c r="G47" s="42">
        <f t="shared" si="17"/>
        <v>0.51805555555555471</v>
      </c>
      <c r="H47" s="16">
        <f t="shared" si="10"/>
        <v>1.5277777777777557E-2</v>
      </c>
      <c r="I47" s="16">
        <f t="shared" si="11"/>
        <v>1.6666666666666441E-2</v>
      </c>
      <c r="J47" s="15">
        <v>0.47916666666666585</v>
      </c>
      <c r="K47" s="15">
        <v>0.52083333333333248</v>
      </c>
      <c r="L47" s="15">
        <v>0.47638888888888808</v>
      </c>
      <c r="M47" s="45">
        <v>0.51805555555555471</v>
      </c>
      <c r="N47" s="16">
        <f t="shared" si="12"/>
        <v>0</v>
      </c>
      <c r="O47" s="16">
        <f t="shared" si="13"/>
        <v>0</v>
      </c>
      <c r="P47" s="16">
        <f t="shared" si="14"/>
        <v>0</v>
      </c>
      <c r="Q47" s="16">
        <f t="shared" si="15"/>
        <v>0</v>
      </c>
      <c r="R47" s="39">
        <f t="shared" si="4"/>
        <v>4.166666666666663E-2</v>
      </c>
      <c r="S47" s="39">
        <f t="shared" si="5"/>
        <v>4.166666666666663E-2</v>
      </c>
    </row>
    <row r="48" spans="1:19" s="19" customFormat="1" ht="15.95" customHeight="1">
      <c r="A48" s="41">
        <f>MAX($A$4:A47)+1</f>
        <v>44</v>
      </c>
      <c r="B48" s="42">
        <v>0.48472222222222139</v>
      </c>
      <c r="C48" s="42">
        <f t="shared" si="16"/>
        <v>0.52638888888888802</v>
      </c>
      <c r="D48" s="42">
        <f t="shared" si="6"/>
        <v>5.5555555555555358E-3</v>
      </c>
      <c r="E48" s="42">
        <f t="shared" si="7"/>
        <v>5.5555555555555358E-3</v>
      </c>
      <c r="F48" s="42">
        <v>0.48194444444444362</v>
      </c>
      <c r="G48" s="42">
        <f t="shared" si="17"/>
        <v>0.52361111111111025</v>
      </c>
      <c r="H48" s="16">
        <f t="shared" si="10"/>
        <v>1.3888888888888673E-2</v>
      </c>
      <c r="I48" s="16">
        <f t="shared" si="11"/>
        <v>1.5277777777777557E-2</v>
      </c>
      <c r="J48" s="15">
        <v>0.48472222222222139</v>
      </c>
      <c r="K48" s="15">
        <v>0.52638888888888802</v>
      </c>
      <c r="L48" s="15">
        <v>0.48194444444444362</v>
      </c>
      <c r="M48" s="45">
        <v>0.52361111111111025</v>
      </c>
      <c r="N48" s="16">
        <f t="shared" si="12"/>
        <v>0</v>
      </c>
      <c r="O48" s="16">
        <f t="shared" si="13"/>
        <v>0</v>
      </c>
      <c r="P48" s="16">
        <f t="shared" si="14"/>
        <v>0</v>
      </c>
      <c r="Q48" s="16">
        <f t="shared" si="15"/>
        <v>0</v>
      </c>
      <c r="R48" s="39">
        <f t="shared" si="4"/>
        <v>4.166666666666663E-2</v>
      </c>
      <c r="S48" s="39">
        <f t="shared" si="5"/>
        <v>4.166666666666663E-2</v>
      </c>
    </row>
    <row r="49" spans="1:19" s="19" customFormat="1" ht="15.95" customHeight="1">
      <c r="A49" s="41">
        <f>MAX($A$4:A48)+1</f>
        <v>45</v>
      </c>
      <c r="B49" s="42">
        <v>0.49027777777777692</v>
      </c>
      <c r="C49" s="42">
        <f t="shared" si="16"/>
        <v>0.53194444444444355</v>
      </c>
      <c r="D49" s="42">
        <f t="shared" si="6"/>
        <v>5.5555555555555358E-3</v>
      </c>
      <c r="E49" s="42">
        <f t="shared" si="7"/>
        <v>5.5555555555555358E-3</v>
      </c>
      <c r="F49" s="42">
        <v>0.48749999999999916</v>
      </c>
      <c r="G49" s="42">
        <f t="shared" si="17"/>
        <v>0.52916666666666579</v>
      </c>
      <c r="H49" s="16">
        <f t="shared" si="10"/>
        <v>1.2499999999999789E-2</v>
      </c>
      <c r="I49" s="16">
        <f t="shared" si="11"/>
        <v>1.3888888888888673E-2</v>
      </c>
      <c r="J49" s="15">
        <v>0.49027777777777692</v>
      </c>
      <c r="K49" s="15">
        <v>0.53194444444444355</v>
      </c>
      <c r="L49" s="15">
        <v>0.48749999999999916</v>
      </c>
      <c r="M49" s="45">
        <v>0.52916666666666579</v>
      </c>
      <c r="N49" s="16">
        <f t="shared" si="12"/>
        <v>0</v>
      </c>
      <c r="O49" s="16">
        <f t="shared" si="13"/>
        <v>0</v>
      </c>
      <c r="P49" s="16">
        <f t="shared" si="14"/>
        <v>0</v>
      </c>
      <c r="Q49" s="16">
        <f t="shared" si="15"/>
        <v>0</v>
      </c>
      <c r="R49" s="39">
        <f t="shared" si="4"/>
        <v>4.166666666666663E-2</v>
      </c>
      <c r="S49" s="39">
        <f t="shared" si="5"/>
        <v>4.166666666666663E-2</v>
      </c>
    </row>
    <row r="50" spans="1:19" s="19" customFormat="1" ht="15.95" customHeight="1">
      <c r="A50" s="41">
        <f>MAX($A$4:A49)+1</f>
        <v>46</v>
      </c>
      <c r="B50" s="42">
        <v>0.49583333333333246</v>
      </c>
      <c r="C50" s="42">
        <f t="shared" si="16"/>
        <v>0.53749999999999909</v>
      </c>
      <c r="D50" s="42">
        <f t="shared" si="6"/>
        <v>5.5555555555555358E-3</v>
      </c>
      <c r="E50" s="42">
        <f t="shared" si="7"/>
        <v>5.5555555555555358E-3</v>
      </c>
      <c r="F50" s="42">
        <v>0.49305555555555469</v>
      </c>
      <c r="G50" s="42">
        <f t="shared" si="17"/>
        <v>0.53472222222222132</v>
      </c>
      <c r="H50" s="16">
        <f t="shared" si="10"/>
        <v>1.1111111111110905E-2</v>
      </c>
      <c r="I50" s="16">
        <f t="shared" si="11"/>
        <v>1.2499999999999789E-2</v>
      </c>
      <c r="J50" s="15">
        <v>0.49583333333333246</v>
      </c>
      <c r="K50" s="15">
        <v>0.53749999999999909</v>
      </c>
      <c r="L50" s="15">
        <v>0.49305555555555469</v>
      </c>
      <c r="M50" s="45">
        <v>0.53472222222222132</v>
      </c>
      <c r="N50" s="16">
        <f t="shared" si="12"/>
        <v>0</v>
      </c>
      <c r="O50" s="16">
        <f t="shared" si="13"/>
        <v>0</v>
      </c>
      <c r="P50" s="16">
        <f t="shared" si="14"/>
        <v>0</v>
      </c>
      <c r="Q50" s="16">
        <f t="shared" si="15"/>
        <v>0</v>
      </c>
      <c r="R50" s="39">
        <f t="shared" si="4"/>
        <v>4.166666666666663E-2</v>
      </c>
      <c r="S50" s="39">
        <f t="shared" si="5"/>
        <v>4.166666666666663E-2</v>
      </c>
    </row>
    <row r="51" spans="1:19" s="19" customFormat="1" ht="15.95" customHeight="1">
      <c r="A51" s="41">
        <f>MAX($A$4:A50)+1</f>
        <v>47</v>
      </c>
      <c r="B51" s="42">
        <v>0.501388888888888</v>
      </c>
      <c r="C51" s="42">
        <f t="shared" si="16"/>
        <v>0.54305555555555463</v>
      </c>
      <c r="D51" s="42">
        <f t="shared" si="6"/>
        <v>5.5555555555555358E-3</v>
      </c>
      <c r="E51" s="42">
        <f t="shared" si="7"/>
        <v>5.5555555555555358E-3</v>
      </c>
      <c r="F51" s="42">
        <v>0.49861111111111023</v>
      </c>
      <c r="G51" s="42">
        <f t="shared" si="17"/>
        <v>0.54027777777777686</v>
      </c>
      <c r="H51" s="16">
        <f t="shared" si="10"/>
        <v>9.7222222222220211E-3</v>
      </c>
      <c r="I51" s="16">
        <f t="shared" si="11"/>
        <v>1.1111111111110905E-2</v>
      </c>
      <c r="J51" s="15">
        <v>0.501388888888888</v>
      </c>
      <c r="K51" s="15">
        <v>0.54305555555555463</v>
      </c>
      <c r="L51" s="15">
        <v>0.49861111111111023</v>
      </c>
      <c r="M51" s="45">
        <v>0.54027777777777686</v>
      </c>
      <c r="N51" s="16">
        <f t="shared" si="12"/>
        <v>0</v>
      </c>
      <c r="O51" s="16">
        <f t="shared" si="13"/>
        <v>0</v>
      </c>
      <c r="P51" s="16">
        <f t="shared" si="14"/>
        <v>0</v>
      </c>
      <c r="Q51" s="16">
        <f t="shared" si="15"/>
        <v>0</v>
      </c>
      <c r="R51" s="39">
        <f t="shared" si="4"/>
        <v>4.166666666666663E-2</v>
      </c>
      <c r="S51" s="39">
        <f t="shared" si="5"/>
        <v>4.166666666666663E-2</v>
      </c>
    </row>
    <row r="52" spans="1:19" s="19" customFormat="1" ht="15.95" customHeight="1">
      <c r="A52" s="41">
        <f>MAX($A$4:A51)+1</f>
        <v>48</v>
      </c>
      <c r="B52" s="42">
        <v>0.50694444444444353</v>
      </c>
      <c r="C52" s="42">
        <f t="shared" si="16"/>
        <v>0.54861111111111016</v>
      </c>
      <c r="D52" s="42">
        <f t="shared" si="6"/>
        <v>5.5555555555555358E-3</v>
      </c>
      <c r="E52" s="42">
        <f t="shared" si="7"/>
        <v>5.5555555555555358E-3</v>
      </c>
      <c r="F52" s="42">
        <v>0.50416666666666576</v>
      </c>
      <c r="G52" s="42">
        <f t="shared" si="17"/>
        <v>0.54583333333333239</v>
      </c>
      <c r="H52" s="16">
        <f t="shared" si="10"/>
        <v>8.3333333333331372E-3</v>
      </c>
      <c r="I52" s="16">
        <f t="shared" si="11"/>
        <v>9.7222222222220211E-3</v>
      </c>
      <c r="J52" s="15">
        <v>0.50694444444444353</v>
      </c>
      <c r="K52" s="15">
        <v>0.54861111111111016</v>
      </c>
      <c r="L52" s="15">
        <v>0.50416666666666576</v>
      </c>
      <c r="M52" s="45">
        <v>0.54583333333333239</v>
      </c>
      <c r="N52" s="16">
        <f t="shared" si="12"/>
        <v>0</v>
      </c>
      <c r="O52" s="16">
        <f t="shared" si="13"/>
        <v>0</v>
      </c>
      <c r="P52" s="16">
        <f t="shared" si="14"/>
        <v>0</v>
      </c>
      <c r="Q52" s="16">
        <f t="shared" si="15"/>
        <v>0</v>
      </c>
      <c r="R52" s="39">
        <f t="shared" si="4"/>
        <v>4.166666666666663E-2</v>
      </c>
      <c r="S52" s="39">
        <f t="shared" si="5"/>
        <v>4.166666666666663E-2</v>
      </c>
    </row>
    <row r="53" spans="1:19" s="19" customFormat="1" ht="15.95" customHeight="1">
      <c r="A53" s="41">
        <f>MAX($A$4:A52)+1</f>
        <v>49</v>
      </c>
      <c r="B53" s="42">
        <v>0.51249999999999907</v>
      </c>
      <c r="C53" s="42">
        <f t="shared" si="16"/>
        <v>0.5541666666666657</v>
      </c>
      <c r="D53" s="42">
        <f t="shared" si="6"/>
        <v>5.5555555555555358E-3</v>
      </c>
      <c r="E53" s="42">
        <f t="shared" si="7"/>
        <v>5.5555555555555358E-3</v>
      </c>
      <c r="F53" s="42">
        <v>0.5097222222222213</v>
      </c>
      <c r="G53" s="42">
        <f t="shared" si="17"/>
        <v>0.55138888888888793</v>
      </c>
      <c r="H53" s="16">
        <f t="shared" si="10"/>
        <v>6.9444444444443088E-3</v>
      </c>
      <c r="I53" s="16">
        <f t="shared" si="11"/>
        <v>8.3333333333331927E-3</v>
      </c>
      <c r="J53" s="15">
        <v>0.51249999999999907</v>
      </c>
      <c r="K53" s="15">
        <v>0.5541666666666657</v>
      </c>
      <c r="L53" s="15">
        <v>0.5097222222222213</v>
      </c>
      <c r="M53" s="45">
        <v>0.55138888888888793</v>
      </c>
      <c r="N53" s="16">
        <f t="shared" si="12"/>
        <v>0</v>
      </c>
      <c r="O53" s="16">
        <f t="shared" si="13"/>
        <v>0</v>
      </c>
      <c r="P53" s="16">
        <f t="shared" si="14"/>
        <v>0</v>
      </c>
      <c r="Q53" s="16">
        <f t="shared" si="15"/>
        <v>0</v>
      </c>
      <c r="R53" s="39">
        <f t="shared" si="4"/>
        <v>4.166666666666663E-2</v>
      </c>
      <c r="S53" s="39">
        <f t="shared" si="5"/>
        <v>4.166666666666663E-2</v>
      </c>
    </row>
    <row r="54" spans="1:19" s="19" customFormat="1" ht="15.95" customHeight="1">
      <c r="A54" s="41">
        <f>MAX($A$4:A53)+1</f>
        <v>50</v>
      </c>
      <c r="B54" s="42">
        <v>0.5180555555555546</v>
      </c>
      <c r="C54" s="42">
        <f t="shared" si="16"/>
        <v>0.55972222222222123</v>
      </c>
      <c r="D54" s="42">
        <f t="shared" si="6"/>
        <v>5.5555555555555358E-3</v>
      </c>
      <c r="E54" s="42">
        <f t="shared" si="7"/>
        <v>5.5555555555555358E-3</v>
      </c>
      <c r="F54" s="42">
        <v>0.51527777777777684</v>
      </c>
      <c r="G54" s="42">
        <f t="shared" si="17"/>
        <v>0.55694444444444346</v>
      </c>
      <c r="H54" s="16">
        <f t="shared" si="10"/>
        <v>5.5555555555554248E-3</v>
      </c>
      <c r="I54" s="16">
        <f t="shared" si="11"/>
        <v>6.9444444444443088E-3</v>
      </c>
      <c r="J54" s="15">
        <v>0.5180555555555546</v>
      </c>
      <c r="K54" s="15">
        <v>0.55972222222222123</v>
      </c>
      <c r="L54" s="15">
        <v>0.51527777777777684</v>
      </c>
      <c r="M54" s="45">
        <v>0.55694444444444346</v>
      </c>
      <c r="N54" s="16">
        <f t="shared" si="12"/>
        <v>0</v>
      </c>
      <c r="O54" s="16">
        <f t="shared" si="13"/>
        <v>0</v>
      </c>
      <c r="P54" s="16">
        <f t="shared" si="14"/>
        <v>0</v>
      </c>
      <c r="Q54" s="16">
        <f t="shared" si="15"/>
        <v>0</v>
      </c>
      <c r="R54" s="39">
        <f t="shared" si="4"/>
        <v>4.166666666666663E-2</v>
      </c>
      <c r="S54" s="39">
        <f t="shared" si="5"/>
        <v>4.166666666666663E-2</v>
      </c>
    </row>
    <row r="55" spans="1:19" s="19" customFormat="1" ht="15.95" customHeight="1">
      <c r="A55" s="41">
        <f>MAX($A$4:A54)+1</f>
        <v>51</v>
      </c>
      <c r="B55" s="42">
        <v>0.52499999999999902</v>
      </c>
      <c r="C55" s="42">
        <f t="shared" si="16"/>
        <v>0.56666666666666565</v>
      </c>
      <c r="D55" s="42">
        <f t="shared" si="6"/>
        <v>6.9444444444444198E-3</v>
      </c>
      <c r="E55" s="42">
        <f t="shared" si="7"/>
        <v>6.9444444444444198E-3</v>
      </c>
      <c r="F55" s="42">
        <v>0.52222222222222126</v>
      </c>
      <c r="G55" s="42">
        <f t="shared" si="17"/>
        <v>0.56388888888888788</v>
      </c>
      <c r="H55" s="16">
        <f t="shared" si="10"/>
        <v>6.9444444444443088E-3</v>
      </c>
      <c r="I55" s="16">
        <f t="shared" si="11"/>
        <v>6.9444444444443088E-3</v>
      </c>
      <c r="J55" s="15">
        <v>0.52499999999999902</v>
      </c>
      <c r="K55" s="15">
        <v>0.56666666666666565</v>
      </c>
      <c r="L55" s="15">
        <v>0.52222222222222126</v>
      </c>
      <c r="M55" s="45">
        <v>0.56388888888888788</v>
      </c>
      <c r="N55" s="16">
        <f t="shared" si="12"/>
        <v>0</v>
      </c>
      <c r="O55" s="16">
        <f t="shared" si="13"/>
        <v>0</v>
      </c>
      <c r="P55" s="16">
        <f t="shared" si="14"/>
        <v>0</v>
      </c>
      <c r="Q55" s="16">
        <f t="shared" si="15"/>
        <v>0</v>
      </c>
      <c r="R55" s="39">
        <f t="shared" si="4"/>
        <v>4.166666666666663E-2</v>
      </c>
      <c r="S55" s="39">
        <f t="shared" si="5"/>
        <v>4.166666666666663E-2</v>
      </c>
    </row>
    <row r="56" spans="1:19" s="19" customFormat="1" ht="15.95" customHeight="1">
      <c r="A56" s="41">
        <f>MAX($A$4:A55)+1</f>
        <v>52</v>
      </c>
      <c r="B56" s="42">
        <v>0.53194444444444344</v>
      </c>
      <c r="C56" s="42">
        <f t="shared" si="16"/>
        <v>0.57361111111111007</v>
      </c>
      <c r="D56" s="42">
        <f t="shared" si="6"/>
        <v>6.9444444444444198E-3</v>
      </c>
      <c r="E56" s="42">
        <f t="shared" si="7"/>
        <v>6.9444444444444198E-3</v>
      </c>
      <c r="F56" s="42">
        <v>0.52916666666666567</v>
      </c>
      <c r="G56" s="42">
        <f t="shared" si="17"/>
        <v>0.5708333333333323</v>
      </c>
      <c r="H56" s="16">
        <f t="shared" si="10"/>
        <v>8.3333333333331927E-3</v>
      </c>
      <c r="I56" s="16">
        <f t="shared" si="11"/>
        <v>8.3333333333331927E-3</v>
      </c>
      <c r="J56" s="15">
        <v>0.53194444444444344</v>
      </c>
      <c r="K56" s="15">
        <v>0.57361111111111007</v>
      </c>
      <c r="L56" s="15">
        <v>0.52916666666666567</v>
      </c>
      <c r="M56" s="45">
        <v>0.5708333333333323</v>
      </c>
      <c r="N56" s="16">
        <f t="shared" si="12"/>
        <v>0</v>
      </c>
      <c r="O56" s="16">
        <f t="shared" si="13"/>
        <v>0</v>
      </c>
      <c r="P56" s="16">
        <f t="shared" si="14"/>
        <v>0</v>
      </c>
      <c r="Q56" s="16">
        <f t="shared" si="15"/>
        <v>0</v>
      </c>
      <c r="R56" s="39">
        <f t="shared" si="4"/>
        <v>4.166666666666663E-2</v>
      </c>
      <c r="S56" s="39">
        <f t="shared" si="5"/>
        <v>4.166666666666663E-2</v>
      </c>
    </row>
    <row r="57" spans="1:19" s="19" customFormat="1" ht="15.95" customHeight="1">
      <c r="A57" s="41">
        <f>MAX($A$4:A56)+1</f>
        <v>53</v>
      </c>
      <c r="B57" s="42">
        <v>0.53888888888888786</v>
      </c>
      <c r="C57" s="42">
        <f t="shared" si="16"/>
        <v>0.58055555555555449</v>
      </c>
      <c r="D57" s="42">
        <f t="shared" si="6"/>
        <v>6.9444444444444198E-3</v>
      </c>
      <c r="E57" s="42">
        <f t="shared" si="7"/>
        <v>6.9444444444444198E-3</v>
      </c>
      <c r="F57" s="42">
        <v>0.53611111111111009</v>
      </c>
      <c r="G57" s="42">
        <f t="shared" si="17"/>
        <v>0.57777777777777672</v>
      </c>
      <c r="H57" s="16">
        <f t="shared" si="10"/>
        <v>9.7222222222220767E-3</v>
      </c>
      <c r="I57" s="16">
        <f t="shared" si="11"/>
        <v>9.7222222222220767E-3</v>
      </c>
      <c r="J57" s="15">
        <v>0.53888888888888786</v>
      </c>
      <c r="K57" s="15">
        <v>0.58055555555555449</v>
      </c>
      <c r="L57" s="15">
        <v>0.53611111111111009</v>
      </c>
      <c r="M57" s="45">
        <v>0.57777777777777672</v>
      </c>
      <c r="N57" s="16">
        <f t="shared" si="12"/>
        <v>0</v>
      </c>
      <c r="O57" s="16">
        <f t="shared" si="13"/>
        <v>0</v>
      </c>
      <c r="P57" s="16">
        <f t="shared" si="14"/>
        <v>0</v>
      </c>
      <c r="Q57" s="16">
        <f t="shared" si="15"/>
        <v>0</v>
      </c>
      <c r="R57" s="39">
        <f t="shared" si="4"/>
        <v>4.166666666666663E-2</v>
      </c>
      <c r="S57" s="39">
        <f t="shared" si="5"/>
        <v>4.166666666666663E-2</v>
      </c>
    </row>
    <row r="58" spans="1:19" s="19" customFormat="1" ht="15.95" customHeight="1">
      <c r="A58" s="41">
        <f>MAX($A$4:A57)+1</f>
        <v>54</v>
      </c>
      <c r="B58" s="42">
        <v>0.54583333333333228</v>
      </c>
      <c r="C58" s="42">
        <f t="shared" si="16"/>
        <v>0.58749999999999891</v>
      </c>
      <c r="D58" s="42">
        <f t="shared" si="6"/>
        <v>6.9444444444444198E-3</v>
      </c>
      <c r="E58" s="42">
        <f t="shared" si="7"/>
        <v>6.9444444444444198E-3</v>
      </c>
      <c r="F58" s="42">
        <v>0.54305555555555451</v>
      </c>
      <c r="G58" s="42">
        <f t="shared" si="17"/>
        <v>0.58472222222222114</v>
      </c>
      <c r="H58" s="16">
        <f t="shared" si="10"/>
        <v>1.1111111111110961E-2</v>
      </c>
      <c r="I58" s="16">
        <f t="shared" si="11"/>
        <v>1.1111111111110961E-2</v>
      </c>
      <c r="J58" s="15">
        <v>0.54583333333333228</v>
      </c>
      <c r="K58" s="15">
        <v>0.58749999999999891</v>
      </c>
      <c r="L58" s="15">
        <v>0.54305555555555451</v>
      </c>
      <c r="M58" s="45">
        <v>0.58472222222222114</v>
      </c>
      <c r="N58" s="16">
        <f t="shared" si="12"/>
        <v>0</v>
      </c>
      <c r="O58" s="16">
        <f t="shared" si="13"/>
        <v>0</v>
      </c>
      <c r="P58" s="16">
        <f t="shared" si="14"/>
        <v>0</v>
      </c>
      <c r="Q58" s="16">
        <f t="shared" si="15"/>
        <v>0</v>
      </c>
      <c r="R58" s="39">
        <f t="shared" si="4"/>
        <v>4.166666666666663E-2</v>
      </c>
      <c r="S58" s="39">
        <f t="shared" si="5"/>
        <v>4.166666666666663E-2</v>
      </c>
    </row>
    <row r="59" spans="1:19" s="19" customFormat="1" ht="15.95" customHeight="1">
      <c r="A59" s="41">
        <f>MAX($A$4:A58)+1</f>
        <v>55</v>
      </c>
      <c r="B59" s="42">
        <v>0.5527777777777767</v>
      </c>
      <c r="C59" s="42">
        <f t="shared" si="16"/>
        <v>0.59444444444444333</v>
      </c>
      <c r="D59" s="42">
        <f t="shared" si="6"/>
        <v>6.9444444444444198E-3</v>
      </c>
      <c r="E59" s="42">
        <f t="shared" si="7"/>
        <v>6.9444444444444198E-3</v>
      </c>
      <c r="F59" s="42">
        <v>0.54999999999999893</v>
      </c>
      <c r="G59" s="42">
        <f t="shared" si="17"/>
        <v>0.59166666666666556</v>
      </c>
      <c r="H59" s="16">
        <f t="shared" si="10"/>
        <v>1.2499999999999845E-2</v>
      </c>
      <c r="I59" s="16">
        <f t="shared" si="11"/>
        <v>1.2499999999999845E-2</v>
      </c>
      <c r="J59" s="15">
        <v>0.5527777777777767</v>
      </c>
      <c r="K59" s="15">
        <v>0.59444444444444333</v>
      </c>
      <c r="L59" s="15">
        <v>0.54999999999999893</v>
      </c>
      <c r="M59" s="45">
        <v>0.59166666666666556</v>
      </c>
      <c r="N59" s="16">
        <f t="shared" si="12"/>
        <v>0</v>
      </c>
      <c r="O59" s="16">
        <f t="shared" si="13"/>
        <v>0</v>
      </c>
      <c r="P59" s="16">
        <f t="shared" si="14"/>
        <v>0</v>
      </c>
      <c r="Q59" s="16">
        <f t="shared" si="15"/>
        <v>0</v>
      </c>
      <c r="R59" s="39">
        <f t="shared" si="4"/>
        <v>4.166666666666663E-2</v>
      </c>
      <c r="S59" s="39">
        <f t="shared" si="5"/>
        <v>4.166666666666663E-2</v>
      </c>
    </row>
    <row r="60" spans="1:19" s="19" customFormat="1" ht="15.95" customHeight="1">
      <c r="A60" s="41">
        <f>MAX($A$4:A59)+1</f>
        <v>56</v>
      </c>
      <c r="B60" s="42">
        <v>0.55972222222222112</v>
      </c>
      <c r="C60" s="42">
        <f t="shared" si="16"/>
        <v>0.60138888888888775</v>
      </c>
      <c r="D60" s="42">
        <f t="shared" si="6"/>
        <v>6.9444444444444198E-3</v>
      </c>
      <c r="E60" s="42">
        <f t="shared" si="7"/>
        <v>6.9444444444444198E-3</v>
      </c>
      <c r="F60" s="42">
        <v>0.55694444444444335</v>
      </c>
      <c r="G60" s="42">
        <f t="shared" si="17"/>
        <v>0.59861111111110998</v>
      </c>
      <c r="H60" s="16">
        <f t="shared" si="10"/>
        <v>1.3888888888888729E-2</v>
      </c>
      <c r="I60" s="16">
        <f t="shared" si="11"/>
        <v>1.3888888888888729E-2</v>
      </c>
      <c r="J60" s="15">
        <v>0.55972222222222112</v>
      </c>
      <c r="K60" s="15">
        <v>0.60138888888888775</v>
      </c>
      <c r="L60" s="15">
        <v>0.55694444444444335</v>
      </c>
      <c r="M60" s="45">
        <v>0.59861111111110998</v>
      </c>
      <c r="N60" s="16">
        <f t="shared" si="12"/>
        <v>0</v>
      </c>
      <c r="O60" s="16">
        <f t="shared" si="13"/>
        <v>0</v>
      </c>
      <c r="P60" s="16">
        <f t="shared" si="14"/>
        <v>0</v>
      </c>
      <c r="Q60" s="16">
        <f t="shared" si="15"/>
        <v>0</v>
      </c>
      <c r="R60" s="39">
        <f t="shared" si="4"/>
        <v>4.166666666666663E-2</v>
      </c>
      <c r="S60" s="39">
        <f t="shared" si="5"/>
        <v>4.166666666666663E-2</v>
      </c>
    </row>
    <row r="61" spans="1:19" s="19" customFormat="1" ht="15.95" customHeight="1">
      <c r="A61" s="41">
        <f>MAX($A$4:A60)+1</f>
        <v>57</v>
      </c>
      <c r="B61" s="42">
        <v>0.56666666666666554</v>
      </c>
      <c r="C61" s="42">
        <f t="shared" si="16"/>
        <v>0.60833333333333217</v>
      </c>
      <c r="D61" s="42">
        <f t="shared" si="6"/>
        <v>6.9444444444444198E-3</v>
      </c>
      <c r="E61" s="42">
        <f t="shared" si="7"/>
        <v>6.9444444444444198E-3</v>
      </c>
      <c r="F61" s="42">
        <v>0.56388888888888777</v>
      </c>
      <c r="G61" s="42">
        <f t="shared" si="17"/>
        <v>0.6055555555555544</v>
      </c>
      <c r="H61" s="16">
        <f t="shared" si="10"/>
        <v>1.5277777777777612E-2</v>
      </c>
      <c r="I61" s="16">
        <f t="shared" si="11"/>
        <v>1.5277777777777612E-2</v>
      </c>
      <c r="J61" s="15">
        <v>0.56666666666666554</v>
      </c>
      <c r="K61" s="15">
        <v>0.60833333333333217</v>
      </c>
      <c r="L61" s="15">
        <v>0.56388888888888777</v>
      </c>
      <c r="M61" s="45">
        <v>0.6055555555555544</v>
      </c>
      <c r="N61" s="16">
        <f t="shared" si="12"/>
        <v>0</v>
      </c>
      <c r="O61" s="16">
        <f t="shared" si="13"/>
        <v>0</v>
      </c>
      <c r="P61" s="16">
        <f t="shared" si="14"/>
        <v>0</v>
      </c>
      <c r="Q61" s="16">
        <f t="shared" si="15"/>
        <v>0</v>
      </c>
      <c r="R61" s="39">
        <f t="shared" si="4"/>
        <v>4.166666666666663E-2</v>
      </c>
      <c r="S61" s="39">
        <f t="shared" si="5"/>
        <v>4.166666666666663E-2</v>
      </c>
    </row>
    <row r="62" spans="1:19" s="19" customFormat="1" ht="15.95" customHeight="1">
      <c r="A62" s="41">
        <f>MAX($A$4:A61)+1</f>
        <v>58</v>
      </c>
      <c r="B62" s="42">
        <v>0.57361111111110996</v>
      </c>
      <c r="C62" s="42">
        <f t="shared" si="16"/>
        <v>0.61527777777777659</v>
      </c>
      <c r="D62" s="42">
        <f t="shared" si="6"/>
        <v>6.9444444444444198E-3</v>
      </c>
      <c r="E62" s="42">
        <f t="shared" si="7"/>
        <v>6.9444444444444198E-3</v>
      </c>
      <c r="F62" s="42">
        <v>0.57083333333333219</v>
      </c>
      <c r="G62" s="42">
        <f t="shared" si="17"/>
        <v>0.61249999999999882</v>
      </c>
      <c r="H62" s="16">
        <f t="shared" si="10"/>
        <v>1.6666666666666496E-2</v>
      </c>
      <c r="I62" s="16">
        <f t="shared" si="11"/>
        <v>1.6666666666666496E-2</v>
      </c>
      <c r="J62" s="15">
        <v>0.57361111111110996</v>
      </c>
      <c r="K62" s="15">
        <v>0.61527777777777659</v>
      </c>
      <c r="L62" s="15">
        <v>0.57083333333333219</v>
      </c>
      <c r="M62" s="45">
        <v>0.61249999999999882</v>
      </c>
      <c r="N62" s="16">
        <f t="shared" si="12"/>
        <v>0</v>
      </c>
      <c r="O62" s="16">
        <f t="shared" si="13"/>
        <v>0</v>
      </c>
      <c r="P62" s="16">
        <f t="shared" si="14"/>
        <v>0</v>
      </c>
      <c r="Q62" s="16">
        <f t="shared" si="15"/>
        <v>0</v>
      </c>
      <c r="R62" s="39">
        <f t="shared" si="4"/>
        <v>4.166666666666663E-2</v>
      </c>
      <c r="S62" s="39">
        <f t="shared" si="5"/>
        <v>4.166666666666663E-2</v>
      </c>
    </row>
    <row r="63" spans="1:19" s="19" customFormat="1" ht="15.95" customHeight="1">
      <c r="A63" s="41">
        <f>MAX($A$4:A62)+1</f>
        <v>59</v>
      </c>
      <c r="B63" s="42">
        <v>0.58055555555555438</v>
      </c>
      <c r="C63" s="42">
        <f t="shared" si="16"/>
        <v>0.62222222222222101</v>
      </c>
      <c r="D63" s="42">
        <f t="shared" si="6"/>
        <v>6.9444444444444198E-3</v>
      </c>
      <c r="E63" s="42">
        <f t="shared" si="7"/>
        <v>6.9444444444444198E-3</v>
      </c>
      <c r="F63" s="42">
        <v>0.57777777777777661</v>
      </c>
      <c r="G63" s="42">
        <f t="shared" si="17"/>
        <v>0.61944444444444324</v>
      </c>
      <c r="H63" s="16">
        <f t="shared" si="10"/>
        <v>1.6666666666666496E-2</v>
      </c>
      <c r="I63" s="16">
        <f t="shared" si="11"/>
        <v>1.805555555555538E-2</v>
      </c>
      <c r="J63" s="15">
        <v>0.58055555555555438</v>
      </c>
      <c r="K63" s="15">
        <v>0.62222222222222101</v>
      </c>
      <c r="L63" s="15">
        <v>0.57777777777777661</v>
      </c>
      <c r="M63" s="45">
        <v>0.61944444444444324</v>
      </c>
      <c r="N63" s="16">
        <f t="shared" si="12"/>
        <v>0</v>
      </c>
      <c r="O63" s="16">
        <f t="shared" si="13"/>
        <v>0</v>
      </c>
      <c r="P63" s="16">
        <f t="shared" si="14"/>
        <v>0</v>
      </c>
      <c r="Q63" s="16">
        <f t="shared" si="15"/>
        <v>0</v>
      </c>
      <c r="R63" s="39">
        <f t="shared" si="4"/>
        <v>4.166666666666663E-2</v>
      </c>
      <c r="S63" s="39">
        <f t="shared" si="5"/>
        <v>4.166666666666663E-2</v>
      </c>
    </row>
    <row r="64" spans="1:19" s="19" customFormat="1" ht="15.95" customHeight="1">
      <c r="A64" s="41">
        <f>MAX($A$4:A63)+1</f>
        <v>60</v>
      </c>
      <c r="B64" s="42">
        <v>0.5874999999999988</v>
      </c>
      <c r="C64" s="42">
        <f t="shared" si="16"/>
        <v>0.62916666666666543</v>
      </c>
      <c r="D64" s="42">
        <f t="shared" si="6"/>
        <v>6.9444444444444198E-3</v>
      </c>
      <c r="E64" s="42">
        <f t="shared" si="7"/>
        <v>6.9444444444444198E-3</v>
      </c>
      <c r="F64" s="42">
        <v>0.58472222222222103</v>
      </c>
      <c r="G64" s="42">
        <f t="shared" si="17"/>
        <v>0.62638888888888766</v>
      </c>
      <c r="H64" s="16">
        <f t="shared" si="10"/>
        <v>1.6666666666666496E-2</v>
      </c>
      <c r="I64" s="16">
        <f t="shared" si="11"/>
        <v>1.805555555555538E-2</v>
      </c>
      <c r="J64" s="15">
        <v>0.5874999999999988</v>
      </c>
      <c r="K64" s="15">
        <v>0.62916666666666543</v>
      </c>
      <c r="L64" s="15">
        <v>0.58472222222222103</v>
      </c>
      <c r="M64" s="45">
        <v>0.62638888888888766</v>
      </c>
      <c r="N64" s="16">
        <f t="shared" si="12"/>
        <v>0</v>
      </c>
      <c r="O64" s="16">
        <f t="shared" si="13"/>
        <v>0</v>
      </c>
      <c r="P64" s="16">
        <f t="shared" si="14"/>
        <v>0</v>
      </c>
      <c r="Q64" s="16">
        <f t="shared" si="15"/>
        <v>0</v>
      </c>
      <c r="R64" s="39">
        <f t="shared" si="4"/>
        <v>4.166666666666663E-2</v>
      </c>
      <c r="S64" s="39">
        <f t="shared" si="5"/>
        <v>4.166666666666663E-2</v>
      </c>
    </row>
    <row r="65" spans="1:19" s="19" customFormat="1" ht="15.95" customHeight="1">
      <c r="A65" s="41">
        <f>MAX($A$4:A64)+1</f>
        <v>61</v>
      </c>
      <c r="B65" s="42">
        <v>0.59444444444444322</v>
      </c>
      <c r="C65" s="42">
        <f t="shared" si="16"/>
        <v>0.63611111111110985</v>
      </c>
      <c r="D65" s="42">
        <f t="shared" si="6"/>
        <v>6.9444444444444198E-3</v>
      </c>
      <c r="E65" s="42">
        <f t="shared" si="7"/>
        <v>6.9444444444444198E-3</v>
      </c>
      <c r="F65" s="42">
        <v>0.59166666666666545</v>
      </c>
      <c r="G65" s="42">
        <f t="shared" si="17"/>
        <v>0.63333333333333208</v>
      </c>
      <c r="H65" s="16">
        <f t="shared" si="10"/>
        <v>1.6666666666666496E-2</v>
      </c>
      <c r="I65" s="16">
        <f t="shared" si="11"/>
        <v>1.805555555555538E-2</v>
      </c>
      <c r="J65" s="15">
        <v>0.59444444444444322</v>
      </c>
      <c r="K65" s="15">
        <v>0.63611111111110985</v>
      </c>
      <c r="L65" s="15">
        <v>0.59166666666666545</v>
      </c>
      <c r="M65" s="45">
        <v>0.63333333333333208</v>
      </c>
      <c r="N65" s="16">
        <f t="shared" si="12"/>
        <v>0</v>
      </c>
      <c r="O65" s="16">
        <f t="shared" si="13"/>
        <v>0</v>
      </c>
      <c r="P65" s="16">
        <f t="shared" si="14"/>
        <v>0</v>
      </c>
      <c r="Q65" s="16">
        <f t="shared" si="15"/>
        <v>0</v>
      </c>
      <c r="R65" s="39">
        <f t="shared" si="4"/>
        <v>4.166666666666663E-2</v>
      </c>
      <c r="S65" s="39">
        <f t="shared" si="5"/>
        <v>4.166666666666663E-2</v>
      </c>
    </row>
    <row r="66" spans="1:19" s="19" customFormat="1" ht="15.95" customHeight="1">
      <c r="A66" s="41">
        <f>MAX($A$4:A65)+1</f>
        <v>62</v>
      </c>
      <c r="B66" s="42">
        <v>0.60138888888888764</v>
      </c>
      <c r="C66" s="42">
        <f t="shared" si="16"/>
        <v>0.64305555555555427</v>
      </c>
      <c r="D66" s="42">
        <f t="shared" si="6"/>
        <v>6.9444444444444198E-3</v>
      </c>
      <c r="E66" s="42">
        <f t="shared" si="7"/>
        <v>6.9444444444444198E-3</v>
      </c>
      <c r="F66" s="42">
        <v>0.59861111111110987</v>
      </c>
      <c r="G66" s="42">
        <f t="shared" si="17"/>
        <v>0.6402777777777765</v>
      </c>
      <c r="H66" s="16">
        <f t="shared" si="10"/>
        <v>1.6666666666666496E-2</v>
      </c>
      <c r="I66" s="16">
        <f t="shared" si="11"/>
        <v>1.805555555555538E-2</v>
      </c>
      <c r="J66" s="15">
        <v>0.60138888888888764</v>
      </c>
      <c r="K66" s="15">
        <v>0.64305555555555427</v>
      </c>
      <c r="L66" s="15">
        <v>0.59861111111110987</v>
      </c>
      <c r="M66" s="45">
        <v>0.6402777777777765</v>
      </c>
      <c r="N66" s="16">
        <f t="shared" si="12"/>
        <v>0</v>
      </c>
      <c r="O66" s="16">
        <f t="shared" si="13"/>
        <v>0</v>
      </c>
      <c r="P66" s="16">
        <f t="shared" si="14"/>
        <v>0</v>
      </c>
      <c r="Q66" s="16">
        <f t="shared" si="15"/>
        <v>0</v>
      </c>
      <c r="R66" s="39">
        <f t="shared" si="4"/>
        <v>4.166666666666663E-2</v>
      </c>
      <c r="S66" s="39">
        <f t="shared" si="5"/>
        <v>4.166666666666663E-2</v>
      </c>
    </row>
    <row r="67" spans="1:19" s="19" customFormat="1" ht="15.95" customHeight="1">
      <c r="A67" s="41">
        <f>MAX($A$4:A66)+1</f>
        <v>63</v>
      </c>
      <c r="B67" s="42">
        <v>0.60833333333333206</v>
      </c>
      <c r="C67" s="42">
        <f t="shared" si="16"/>
        <v>0.64999999999999869</v>
      </c>
      <c r="D67" s="42">
        <f t="shared" si="6"/>
        <v>6.9444444444444198E-3</v>
      </c>
      <c r="E67" s="42">
        <f t="shared" si="7"/>
        <v>6.9444444444444198E-3</v>
      </c>
      <c r="F67" s="42">
        <v>0.60555555555555429</v>
      </c>
      <c r="G67" s="42">
        <f t="shared" si="17"/>
        <v>0.64722222222222092</v>
      </c>
      <c r="H67" s="16">
        <f t="shared" si="10"/>
        <v>1.6666666666666496E-2</v>
      </c>
      <c r="I67" s="16">
        <f t="shared" si="11"/>
        <v>1.805555555555538E-2</v>
      </c>
      <c r="J67" s="15">
        <v>0.60833333333333206</v>
      </c>
      <c r="K67" s="15">
        <v>0.64999999999999869</v>
      </c>
      <c r="L67" s="15">
        <v>0.60555555555555429</v>
      </c>
      <c r="M67" s="45">
        <v>0.64722222222222092</v>
      </c>
      <c r="N67" s="16">
        <f t="shared" si="12"/>
        <v>0</v>
      </c>
      <c r="O67" s="16">
        <f t="shared" si="13"/>
        <v>0</v>
      </c>
      <c r="P67" s="16">
        <f t="shared" si="14"/>
        <v>0</v>
      </c>
      <c r="Q67" s="16">
        <f t="shared" si="15"/>
        <v>0</v>
      </c>
      <c r="R67" s="39">
        <f t="shared" si="4"/>
        <v>4.166666666666663E-2</v>
      </c>
      <c r="S67" s="39">
        <f t="shared" si="5"/>
        <v>4.166666666666663E-2</v>
      </c>
    </row>
    <row r="68" spans="1:19" s="19" customFormat="1" ht="15.95" customHeight="1">
      <c r="A68" s="41">
        <f>MAX($A$4:A67)+1</f>
        <v>64</v>
      </c>
      <c r="B68" s="42">
        <v>0.61527777777777648</v>
      </c>
      <c r="C68" s="42">
        <f t="shared" si="16"/>
        <v>0.65694444444444311</v>
      </c>
      <c r="D68" s="42">
        <f t="shared" si="6"/>
        <v>6.9444444444444198E-3</v>
      </c>
      <c r="E68" s="42">
        <f t="shared" si="7"/>
        <v>6.9444444444444198E-3</v>
      </c>
      <c r="F68" s="42">
        <v>0.61249999999999871</v>
      </c>
      <c r="G68" s="42">
        <f t="shared" si="17"/>
        <v>0.65416666666666534</v>
      </c>
      <c r="H68" s="16">
        <f t="shared" si="10"/>
        <v>1.6666666666666496E-2</v>
      </c>
      <c r="I68" s="16">
        <f t="shared" si="11"/>
        <v>1.805555555555538E-2</v>
      </c>
      <c r="J68" s="15">
        <v>0.61527777777777648</v>
      </c>
      <c r="K68" s="15">
        <v>0.65694444444444311</v>
      </c>
      <c r="L68" s="15">
        <v>0.61249999999999871</v>
      </c>
      <c r="M68" s="45">
        <v>0.65416666666666534</v>
      </c>
      <c r="N68" s="16">
        <f t="shared" si="12"/>
        <v>0</v>
      </c>
      <c r="O68" s="16">
        <f t="shared" si="13"/>
        <v>0</v>
      </c>
      <c r="P68" s="16">
        <f t="shared" si="14"/>
        <v>0</v>
      </c>
      <c r="Q68" s="16">
        <f t="shared" si="15"/>
        <v>0</v>
      </c>
      <c r="R68" s="39">
        <f t="shared" si="4"/>
        <v>4.166666666666663E-2</v>
      </c>
      <c r="S68" s="39">
        <f t="shared" si="5"/>
        <v>4.166666666666663E-2</v>
      </c>
    </row>
    <row r="69" spans="1:19" s="19" customFormat="1" ht="15.95" customHeight="1">
      <c r="A69" s="41">
        <f>MAX($A$4:A68)+1</f>
        <v>65</v>
      </c>
      <c r="B69" s="42">
        <v>0.6222222222222209</v>
      </c>
      <c r="C69" s="42">
        <f t="shared" si="16"/>
        <v>0.66388888888888753</v>
      </c>
      <c r="D69" s="42">
        <f t="shared" si="6"/>
        <v>6.9444444444444198E-3</v>
      </c>
      <c r="E69" s="42">
        <f t="shared" si="7"/>
        <v>6.9444444444444198E-3</v>
      </c>
      <c r="F69" s="42">
        <v>0.61944444444444313</v>
      </c>
      <c r="G69" s="42">
        <f t="shared" si="17"/>
        <v>0.66111111111110976</v>
      </c>
      <c r="H69" s="16">
        <f t="shared" si="10"/>
        <v>1.6666666666666496E-2</v>
      </c>
      <c r="I69" s="16">
        <f t="shared" si="11"/>
        <v>1.805555555555538E-2</v>
      </c>
      <c r="J69" s="15">
        <v>0.6222222222222209</v>
      </c>
      <c r="K69" s="15">
        <v>0.66388888888888753</v>
      </c>
      <c r="L69" s="15">
        <v>0.61944444444444313</v>
      </c>
      <c r="M69" s="45">
        <v>0.66111111111110976</v>
      </c>
      <c r="N69" s="16">
        <f t="shared" si="12"/>
        <v>0</v>
      </c>
      <c r="O69" s="16">
        <f t="shared" si="13"/>
        <v>0</v>
      </c>
      <c r="P69" s="16">
        <f t="shared" si="14"/>
        <v>0</v>
      </c>
      <c r="Q69" s="16">
        <f t="shared" si="15"/>
        <v>0</v>
      </c>
      <c r="R69" s="39">
        <f t="shared" si="4"/>
        <v>4.166666666666663E-2</v>
      </c>
      <c r="S69" s="39">
        <f t="shared" si="5"/>
        <v>4.166666666666663E-2</v>
      </c>
    </row>
    <row r="70" spans="1:19" s="19" customFormat="1" ht="15.95" customHeight="1">
      <c r="A70" s="41">
        <f>MAX($A$4:A69)+1</f>
        <v>66</v>
      </c>
      <c r="B70" s="42">
        <v>0.62916666666666532</v>
      </c>
      <c r="C70" s="42">
        <f t="shared" si="16"/>
        <v>0.67083333333333195</v>
      </c>
      <c r="D70" s="42">
        <f t="shared" si="6"/>
        <v>6.9444444444444198E-3</v>
      </c>
      <c r="E70" s="42">
        <f t="shared" si="7"/>
        <v>6.9444444444444198E-3</v>
      </c>
      <c r="F70" s="42">
        <v>0.62638888888888755</v>
      </c>
      <c r="G70" s="42">
        <f t="shared" si="17"/>
        <v>0.66805555555555418</v>
      </c>
      <c r="H70" s="16">
        <f t="shared" si="10"/>
        <v>1.6666666666666496E-2</v>
      </c>
      <c r="I70" s="16">
        <f t="shared" si="11"/>
        <v>1.805555555555538E-2</v>
      </c>
      <c r="J70" s="15">
        <v>0.62916666666666532</v>
      </c>
      <c r="K70" s="15">
        <v>0.67083333333333195</v>
      </c>
      <c r="L70" s="15">
        <v>0.62638888888888755</v>
      </c>
      <c r="M70" s="45">
        <v>0.66805555555555418</v>
      </c>
      <c r="N70" s="16">
        <f t="shared" si="12"/>
        <v>0</v>
      </c>
      <c r="O70" s="16">
        <f t="shared" si="13"/>
        <v>0</v>
      </c>
      <c r="P70" s="16">
        <f t="shared" si="14"/>
        <v>0</v>
      </c>
      <c r="Q70" s="16">
        <f t="shared" si="15"/>
        <v>0</v>
      </c>
      <c r="R70" s="39">
        <f t="shared" ref="R70:R104" si="18">K70-J70</f>
        <v>4.166666666666663E-2</v>
      </c>
      <c r="S70" s="39">
        <f t="shared" ref="S70:S104" si="19">M70-L70</f>
        <v>4.166666666666663E-2</v>
      </c>
    </row>
    <row r="71" spans="1:19" s="19" customFormat="1" ht="15.95" customHeight="1">
      <c r="A71" s="41">
        <f>MAX($A$4:A70)+1</f>
        <v>67</v>
      </c>
      <c r="B71" s="42">
        <v>0.63611111111110974</v>
      </c>
      <c r="C71" s="42">
        <f t="shared" si="16"/>
        <v>0.67777777777777637</v>
      </c>
      <c r="D71" s="42">
        <f t="shared" ref="D71:D104" si="20">B71-B70</f>
        <v>6.9444444444444198E-3</v>
      </c>
      <c r="E71" s="42">
        <f t="shared" ref="E71:E104" si="21">F71-F70</f>
        <v>6.9444444444444198E-3</v>
      </c>
      <c r="F71" s="42">
        <v>0.63333333333333197</v>
      </c>
      <c r="G71" s="42">
        <f t="shared" si="17"/>
        <v>0.6749999999999986</v>
      </c>
      <c r="H71" s="16">
        <f t="shared" si="10"/>
        <v>1.6666666666666496E-2</v>
      </c>
      <c r="I71" s="16">
        <f t="shared" si="11"/>
        <v>1.805555555555538E-2</v>
      </c>
      <c r="J71" s="15">
        <v>0.63611111111110974</v>
      </c>
      <c r="K71" s="15">
        <v>0.67777777777777637</v>
      </c>
      <c r="L71" s="15">
        <v>0.63333333333333197</v>
      </c>
      <c r="M71" s="45">
        <v>0.6749999999999986</v>
      </c>
      <c r="N71" s="16">
        <f t="shared" si="12"/>
        <v>0</v>
      </c>
      <c r="O71" s="16">
        <f t="shared" si="13"/>
        <v>0</v>
      </c>
      <c r="P71" s="16">
        <f t="shared" si="14"/>
        <v>0</v>
      </c>
      <c r="Q71" s="16">
        <f t="shared" si="15"/>
        <v>0</v>
      </c>
      <c r="R71" s="39">
        <f t="shared" si="18"/>
        <v>4.166666666666663E-2</v>
      </c>
      <c r="S71" s="39">
        <f t="shared" si="19"/>
        <v>4.166666666666663E-2</v>
      </c>
    </row>
    <row r="72" spans="1:19" s="19" customFormat="1" ht="15.95" customHeight="1">
      <c r="A72" s="41">
        <f>MAX($A$4:A71)+1</f>
        <v>68</v>
      </c>
      <c r="B72" s="42">
        <v>0.64305555555555416</v>
      </c>
      <c r="C72" s="42">
        <f t="shared" si="16"/>
        <v>0.68472222222222079</v>
      </c>
      <c r="D72" s="42">
        <f t="shared" si="20"/>
        <v>6.9444444444444198E-3</v>
      </c>
      <c r="E72" s="42">
        <f t="shared" si="21"/>
        <v>6.9444444444444198E-3</v>
      </c>
      <c r="F72" s="42">
        <v>0.64027777777777639</v>
      </c>
      <c r="G72" s="42">
        <f t="shared" si="17"/>
        <v>0.68194444444444302</v>
      </c>
      <c r="H72" s="16">
        <f t="shared" si="10"/>
        <v>1.6666666666666496E-2</v>
      </c>
      <c r="I72" s="16">
        <f t="shared" si="11"/>
        <v>1.805555555555538E-2</v>
      </c>
      <c r="J72" s="15">
        <v>0.64305555555555416</v>
      </c>
      <c r="K72" s="15">
        <v>0.68472222222222079</v>
      </c>
      <c r="L72" s="15">
        <v>0.64027777777777639</v>
      </c>
      <c r="M72" s="45">
        <v>0.68194444444444302</v>
      </c>
      <c r="N72" s="16">
        <f t="shared" si="12"/>
        <v>0</v>
      </c>
      <c r="O72" s="16">
        <f t="shared" si="13"/>
        <v>0</v>
      </c>
      <c r="P72" s="16">
        <f t="shared" si="14"/>
        <v>0</v>
      </c>
      <c r="Q72" s="16">
        <f t="shared" si="15"/>
        <v>0</v>
      </c>
      <c r="R72" s="39">
        <f t="shared" si="18"/>
        <v>4.166666666666663E-2</v>
      </c>
      <c r="S72" s="39">
        <f t="shared" si="19"/>
        <v>4.166666666666663E-2</v>
      </c>
    </row>
    <row r="73" spans="1:19" s="19" customFormat="1" ht="15.95" customHeight="1">
      <c r="A73" s="41">
        <f>MAX($A$4:A72)+1</f>
        <v>69</v>
      </c>
      <c r="B73" s="42">
        <v>0.64999999999999858</v>
      </c>
      <c r="C73" s="42">
        <f t="shared" si="16"/>
        <v>0.69166666666666521</v>
      </c>
      <c r="D73" s="42">
        <f t="shared" si="20"/>
        <v>6.9444444444444198E-3</v>
      </c>
      <c r="E73" s="42">
        <f t="shared" si="21"/>
        <v>6.9444444444444198E-3</v>
      </c>
      <c r="F73" s="42">
        <v>0.64722222222222081</v>
      </c>
      <c r="G73" s="42">
        <f t="shared" si="17"/>
        <v>0.68888888888888744</v>
      </c>
      <c r="H73" s="16">
        <f t="shared" si="10"/>
        <v>1.6666666666666496E-2</v>
      </c>
      <c r="I73" s="16">
        <f t="shared" si="11"/>
        <v>1.805555555555538E-2</v>
      </c>
      <c r="J73" s="15">
        <v>0.64999999999999858</v>
      </c>
      <c r="K73" s="15">
        <v>0.69166666666666521</v>
      </c>
      <c r="L73" s="15">
        <v>0.64722222222222081</v>
      </c>
      <c r="M73" s="45">
        <v>0.68888888888888744</v>
      </c>
      <c r="N73" s="16">
        <f t="shared" si="12"/>
        <v>0</v>
      </c>
      <c r="O73" s="16">
        <f t="shared" si="13"/>
        <v>0</v>
      </c>
      <c r="P73" s="16">
        <f t="shared" si="14"/>
        <v>0</v>
      </c>
      <c r="Q73" s="16">
        <f t="shared" si="15"/>
        <v>0</v>
      </c>
      <c r="R73" s="39">
        <f t="shared" si="18"/>
        <v>4.166666666666663E-2</v>
      </c>
      <c r="S73" s="39">
        <f t="shared" si="19"/>
        <v>4.166666666666663E-2</v>
      </c>
    </row>
    <row r="74" spans="1:19" s="19" customFormat="1" ht="15.95" customHeight="1">
      <c r="A74" s="41">
        <f>MAX($A$4:A73)+1</f>
        <v>70</v>
      </c>
      <c r="B74" s="42">
        <v>0.656944444444443</v>
      </c>
      <c r="C74" s="42">
        <f t="shared" si="16"/>
        <v>0.69861111111110963</v>
      </c>
      <c r="D74" s="42">
        <f t="shared" si="20"/>
        <v>6.9444444444444198E-3</v>
      </c>
      <c r="E74" s="42">
        <f t="shared" si="21"/>
        <v>6.9444444444444198E-3</v>
      </c>
      <c r="F74" s="42">
        <v>0.65416666666666523</v>
      </c>
      <c r="G74" s="42">
        <f t="shared" si="17"/>
        <v>0.69583333333333186</v>
      </c>
      <c r="H74" s="16">
        <f t="shared" si="10"/>
        <v>1.6666666666666496E-2</v>
      </c>
      <c r="I74" s="16">
        <f t="shared" si="11"/>
        <v>1.805555555555538E-2</v>
      </c>
      <c r="J74" s="15">
        <v>0.656944444444443</v>
      </c>
      <c r="K74" s="15">
        <v>0.69861111111110963</v>
      </c>
      <c r="L74" s="15">
        <v>0.65416666666666523</v>
      </c>
      <c r="M74" s="45">
        <v>0.69583333333333186</v>
      </c>
      <c r="N74" s="16">
        <f t="shared" si="12"/>
        <v>0</v>
      </c>
      <c r="O74" s="16">
        <f t="shared" si="13"/>
        <v>0</v>
      </c>
      <c r="P74" s="16">
        <f t="shared" si="14"/>
        <v>0</v>
      </c>
      <c r="Q74" s="16">
        <f t="shared" si="15"/>
        <v>0</v>
      </c>
      <c r="R74" s="39">
        <f t="shared" si="18"/>
        <v>4.166666666666663E-2</v>
      </c>
      <c r="S74" s="39">
        <f t="shared" si="19"/>
        <v>4.166666666666663E-2</v>
      </c>
    </row>
    <row r="75" spans="1:19" s="19" customFormat="1" ht="15.95" customHeight="1">
      <c r="A75" s="41">
        <f>MAX($A$4:A74)+1</f>
        <v>71</v>
      </c>
      <c r="B75" s="42">
        <v>0.66249999999999853</v>
      </c>
      <c r="C75" s="42">
        <f t="shared" ref="C75:C84" si="22">B75+$H$3</f>
        <v>0.70416666666666516</v>
      </c>
      <c r="D75" s="42">
        <f t="shared" si="20"/>
        <v>5.5555555555555358E-3</v>
      </c>
      <c r="E75" s="42">
        <f t="shared" si="21"/>
        <v>5.5555555555555358E-3</v>
      </c>
      <c r="F75" s="42">
        <v>0.65972222222222077</v>
      </c>
      <c r="G75" s="42">
        <f t="shared" ref="G75:G84" si="23">F75+$H$3</f>
        <v>0.7013888888888874</v>
      </c>
      <c r="H75" s="16">
        <f t="shared" si="10"/>
        <v>1.5277777777777612E-2</v>
      </c>
      <c r="I75" s="16">
        <f t="shared" si="11"/>
        <v>1.6666666666666496E-2</v>
      </c>
      <c r="J75" s="15">
        <v>0.66249999999999853</v>
      </c>
      <c r="K75" s="15">
        <v>0.70416666666666516</v>
      </c>
      <c r="L75" s="15">
        <v>0.65972222222222077</v>
      </c>
      <c r="M75" s="45">
        <v>0.7013888888888874</v>
      </c>
      <c r="N75" s="16">
        <f t="shared" si="12"/>
        <v>0</v>
      </c>
      <c r="O75" s="16">
        <f t="shared" si="13"/>
        <v>0</v>
      </c>
      <c r="P75" s="16">
        <f t="shared" si="14"/>
        <v>0</v>
      </c>
      <c r="Q75" s="16">
        <f t="shared" si="15"/>
        <v>0</v>
      </c>
      <c r="R75" s="39">
        <f t="shared" si="18"/>
        <v>4.166666666666663E-2</v>
      </c>
      <c r="S75" s="39">
        <f t="shared" si="19"/>
        <v>4.166666666666663E-2</v>
      </c>
    </row>
    <row r="76" spans="1:19" s="19" customFormat="1" ht="15.95" customHeight="1">
      <c r="A76" s="41">
        <f>MAX($A$4:A75)+1</f>
        <v>72</v>
      </c>
      <c r="B76" s="42">
        <v>0.66805555555555407</v>
      </c>
      <c r="C76" s="42">
        <f t="shared" si="22"/>
        <v>0.7097222222222207</v>
      </c>
      <c r="D76" s="42">
        <f t="shared" si="20"/>
        <v>5.5555555555555358E-3</v>
      </c>
      <c r="E76" s="42">
        <f t="shared" si="21"/>
        <v>5.5555555555555358E-3</v>
      </c>
      <c r="F76" s="42">
        <v>0.6652777777777763</v>
      </c>
      <c r="G76" s="42">
        <f t="shared" si="23"/>
        <v>0.70694444444444293</v>
      </c>
      <c r="H76" s="16">
        <f t="shared" si="10"/>
        <v>1.3888888888888729E-2</v>
      </c>
      <c r="I76" s="16">
        <f t="shared" si="11"/>
        <v>1.5277777777777612E-2</v>
      </c>
      <c r="J76" s="15">
        <v>0.66805555555555407</v>
      </c>
      <c r="K76" s="15">
        <v>0.7097222222222207</v>
      </c>
      <c r="L76" s="15">
        <v>0.6652777777777763</v>
      </c>
      <c r="M76" s="45">
        <v>0.70694444444444293</v>
      </c>
      <c r="N76" s="16">
        <f t="shared" si="12"/>
        <v>0</v>
      </c>
      <c r="O76" s="16">
        <f t="shared" si="13"/>
        <v>0</v>
      </c>
      <c r="P76" s="16">
        <f t="shared" si="14"/>
        <v>0</v>
      </c>
      <c r="Q76" s="16">
        <f t="shared" si="15"/>
        <v>0</v>
      </c>
      <c r="R76" s="39">
        <f t="shared" si="18"/>
        <v>4.166666666666663E-2</v>
      </c>
      <c r="S76" s="39">
        <f t="shared" si="19"/>
        <v>4.166666666666663E-2</v>
      </c>
    </row>
    <row r="77" spans="1:19" s="19" customFormat="1" ht="15.95" customHeight="1">
      <c r="A77" s="41">
        <f>MAX($A$4:A76)+1</f>
        <v>73</v>
      </c>
      <c r="B77" s="42">
        <v>0.67361111111110961</v>
      </c>
      <c r="C77" s="42">
        <f t="shared" si="22"/>
        <v>0.71527777777777624</v>
      </c>
      <c r="D77" s="42">
        <f t="shared" si="20"/>
        <v>5.5555555555555358E-3</v>
      </c>
      <c r="E77" s="42">
        <f t="shared" si="21"/>
        <v>5.5555555555555358E-3</v>
      </c>
      <c r="F77" s="42">
        <v>0.67083333333333184</v>
      </c>
      <c r="G77" s="42">
        <f t="shared" si="23"/>
        <v>0.71249999999999847</v>
      </c>
      <c r="H77" s="16">
        <f t="shared" si="10"/>
        <v>1.2499999999999845E-2</v>
      </c>
      <c r="I77" s="16">
        <f t="shared" si="11"/>
        <v>1.3888888888888729E-2</v>
      </c>
      <c r="J77" s="15">
        <v>0.67361111111110961</v>
      </c>
      <c r="K77" s="15">
        <v>0.71527777777777624</v>
      </c>
      <c r="L77" s="15">
        <v>0.67083333333333184</v>
      </c>
      <c r="M77" s="45">
        <v>0.71249999999999847</v>
      </c>
      <c r="N77" s="16">
        <f t="shared" si="12"/>
        <v>0</v>
      </c>
      <c r="O77" s="16">
        <f t="shared" si="13"/>
        <v>0</v>
      </c>
      <c r="P77" s="16">
        <f t="shared" si="14"/>
        <v>0</v>
      </c>
      <c r="Q77" s="16">
        <f t="shared" si="15"/>
        <v>0</v>
      </c>
      <c r="R77" s="39">
        <f t="shared" si="18"/>
        <v>4.166666666666663E-2</v>
      </c>
      <c r="S77" s="39">
        <f t="shared" si="19"/>
        <v>4.166666666666663E-2</v>
      </c>
    </row>
    <row r="78" spans="1:19" s="19" customFormat="1" ht="15.95" customHeight="1">
      <c r="A78" s="41">
        <f>MAX($A$4:A77)+1</f>
        <v>74</v>
      </c>
      <c r="B78" s="42">
        <v>0.67916666666666514</v>
      </c>
      <c r="C78" s="42">
        <f t="shared" si="22"/>
        <v>0.72083333333333177</v>
      </c>
      <c r="D78" s="42">
        <f t="shared" si="20"/>
        <v>5.5555555555555358E-3</v>
      </c>
      <c r="E78" s="42">
        <f t="shared" si="21"/>
        <v>5.5555555555555358E-3</v>
      </c>
      <c r="F78" s="42">
        <v>0.67638888888888737</v>
      </c>
      <c r="G78" s="42">
        <f t="shared" si="23"/>
        <v>0.718055555555554</v>
      </c>
      <c r="H78" s="16">
        <f t="shared" ref="H78:H104" si="24">B78-G70</f>
        <v>1.1111111111110961E-2</v>
      </c>
      <c r="I78" s="16">
        <f t="shared" si="11"/>
        <v>1.2499999999999845E-2</v>
      </c>
      <c r="J78" s="15">
        <v>0.67916666666666514</v>
      </c>
      <c r="K78" s="15">
        <v>0.72083333333333177</v>
      </c>
      <c r="L78" s="15">
        <v>0.67638888888888737</v>
      </c>
      <c r="M78" s="45">
        <v>0.718055555555554</v>
      </c>
      <c r="N78" s="16">
        <f t="shared" si="12"/>
        <v>0</v>
      </c>
      <c r="O78" s="16">
        <f t="shared" si="13"/>
        <v>0</v>
      </c>
      <c r="P78" s="16">
        <f t="shared" si="14"/>
        <v>0</v>
      </c>
      <c r="Q78" s="16">
        <f t="shared" si="15"/>
        <v>0</v>
      </c>
      <c r="R78" s="39">
        <f t="shared" si="18"/>
        <v>4.166666666666663E-2</v>
      </c>
      <c r="S78" s="39">
        <f t="shared" si="19"/>
        <v>4.166666666666663E-2</v>
      </c>
    </row>
    <row r="79" spans="1:19" s="19" customFormat="1" ht="15.95" customHeight="1">
      <c r="A79" s="41">
        <f>MAX($A$4:A78)+1</f>
        <v>75</v>
      </c>
      <c r="B79" s="42">
        <v>0.68472222222222068</v>
      </c>
      <c r="C79" s="42">
        <f t="shared" si="22"/>
        <v>0.72638888888888731</v>
      </c>
      <c r="D79" s="42">
        <f t="shared" si="20"/>
        <v>5.5555555555555358E-3</v>
      </c>
      <c r="E79" s="42">
        <f t="shared" si="21"/>
        <v>5.5555555555555358E-3</v>
      </c>
      <c r="F79" s="42">
        <v>0.68194444444444291</v>
      </c>
      <c r="G79" s="42">
        <f t="shared" si="23"/>
        <v>0.72361111111110954</v>
      </c>
      <c r="H79" s="16">
        <f t="shared" si="24"/>
        <v>9.7222222222220767E-3</v>
      </c>
      <c r="I79" s="16">
        <f t="shared" ref="I79:I104" si="25">F79-C70</f>
        <v>1.1111111111110961E-2</v>
      </c>
      <c r="J79" s="15">
        <v>0.68472222222222068</v>
      </c>
      <c r="K79" s="15">
        <v>0.72638888888888731</v>
      </c>
      <c r="L79" s="15">
        <v>0.68194444444444291</v>
      </c>
      <c r="M79" s="45">
        <v>0.72361111111110954</v>
      </c>
      <c r="N79" s="16">
        <f t="shared" si="12"/>
        <v>0</v>
      </c>
      <c r="O79" s="16">
        <f t="shared" si="13"/>
        <v>0</v>
      </c>
      <c r="P79" s="16">
        <f t="shared" si="14"/>
        <v>0</v>
      </c>
      <c r="Q79" s="16">
        <f t="shared" si="15"/>
        <v>0</v>
      </c>
      <c r="R79" s="39">
        <f t="shared" si="18"/>
        <v>4.166666666666663E-2</v>
      </c>
      <c r="S79" s="39">
        <f t="shared" si="19"/>
        <v>4.166666666666663E-2</v>
      </c>
    </row>
    <row r="80" spans="1:19" s="19" customFormat="1" ht="15.95" customHeight="1">
      <c r="A80" s="41">
        <f>MAX($A$4:A79)+1</f>
        <v>76</v>
      </c>
      <c r="B80" s="42">
        <v>0.69027777777777621</v>
      </c>
      <c r="C80" s="42">
        <f t="shared" si="22"/>
        <v>0.73194444444444284</v>
      </c>
      <c r="D80" s="42">
        <f t="shared" si="20"/>
        <v>5.5555555555555358E-3</v>
      </c>
      <c r="E80" s="42">
        <f t="shared" si="21"/>
        <v>5.5555555555555358E-3</v>
      </c>
      <c r="F80" s="42">
        <v>0.68749999999999845</v>
      </c>
      <c r="G80" s="42">
        <f t="shared" si="23"/>
        <v>0.72916666666666508</v>
      </c>
      <c r="H80" s="16">
        <f t="shared" si="24"/>
        <v>8.3333333333331927E-3</v>
      </c>
      <c r="I80" s="16">
        <f t="shared" si="25"/>
        <v>9.7222222222220767E-3</v>
      </c>
      <c r="J80" s="15">
        <v>0.69027777777777621</v>
      </c>
      <c r="K80" s="15">
        <v>0.73194444444444284</v>
      </c>
      <c r="L80" s="15">
        <v>0.68749999999999845</v>
      </c>
      <c r="M80" s="45">
        <v>0.72916666666666508</v>
      </c>
      <c r="N80" s="16">
        <f t="shared" si="12"/>
        <v>0</v>
      </c>
      <c r="O80" s="16">
        <f t="shared" si="13"/>
        <v>0</v>
      </c>
      <c r="P80" s="16">
        <f t="shared" si="14"/>
        <v>0</v>
      </c>
      <c r="Q80" s="16">
        <f t="shared" si="15"/>
        <v>0</v>
      </c>
      <c r="R80" s="39">
        <f t="shared" si="18"/>
        <v>4.166666666666663E-2</v>
      </c>
      <c r="S80" s="39">
        <f t="shared" si="19"/>
        <v>4.166666666666663E-2</v>
      </c>
    </row>
    <row r="81" spans="1:19" s="19" customFormat="1" ht="15.95" customHeight="1">
      <c r="A81" s="41">
        <f>MAX($A$4:A80)+1</f>
        <v>77</v>
      </c>
      <c r="B81" s="42">
        <v>0.69583333333333175</v>
      </c>
      <c r="C81" s="42">
        <f t="shared" si="22"/>
        <v>0.73749999999999838</v>
      </c>
      <c r="D81" s="42">
        <f t="shared" si="20"/>
        <v>5.5555555555555358E-3</v>
      </c>
      <c r="E81" s="42">
        <f t="shared" si="21"/>
        <v>5.5555555555555358E-3</v>
      </c>
      <c r="F81" s="42">
        <v>0.69305555555555398</v>
      </c>
      <c r="G81" s="42">
        <f t="shared" si="23"/>
        <v>0.73472222222222061</v>
      </c>
      <c r="H81" s="16">
        <f t="shared" si="24"/>
        <v>6.9444444444443088E-3</v>
      </c>
      <c r="I81" s="16">
        <f t="shared" si="25"/>
        <v>8.3333333333331927E-3</v>
      </c>
      <c r="J81" s="15">
        <v>0.69583333333333175</v>
      </c>
      <c r="K81" s="15">
        <v>0.73749999999999838</v>
      </c>
      <c r="L81" s="15">
        <v>0.69305555555555398</v>
      </c>
      <c r="M81" s="45">
        <v>0.73472222222222061</v>
      </c>
      <c r="N81" s="16">
        <f t="shared" si="12"/>
        <v>0</v>
      </c>
      <c r="O81" s="16">
        <f t="shared" si="13"/>
        <v>0</v>
      </c>
      <c r="P81" s="16">
        <f t="shared" si="14"/>
        <v>0</v>
      </c>
      <c r="Q81" s="16">
        <f t="shared" si="15"/>
        <v>0</v>
      </c>
      <c r="R81" s="39">
        <f t="shared" si="18"/>
        <v>4.166666666666663E-2</v>
      </c>
      <c r="S81" s="39">
        <f t="shared" si="19"/>
        <v>4.166666666666663E-2</v>
      </c>
    </row>
    <row r="82" spans="1:19" s="19" customFormat="1" ht="15.95" customHeight="1">
      <c r="A82" s="41">
        <f>MAX($A$4:A81)+1</f>
        <v>78</v>
      </c>
      <c r="B82" s="42">
        <v>0.70138888888888729</v>
      </c>
      <c r="C82" s="42">
        <f t="shared" si="22"/>
        <v>0.74305555555555391</v>
      </c>
      <c r="D82" s="42">
        <f t="shared" si="20"/>
        <v>5.5555555555555358E-3</v>
      </c>
      <c r="E82" s="42">
        <f t="shared" si="21"/>
        <v>5.5555555555555358E-3</v>
      </c>
      <c r="F82" s="42">
        <v>0.69861111111110952</v>
      </c>
      <c r="G82" s="42">
        <f t="shared" si="23"/>
        <v>0.74027777777777615</v>
      </c>
      <c r="H82" s="16">
        <f t="shared" si="24"/>
        <v>5.5555555555554248E-3</v>
      </c>
      <c r="I82" s="16">
        <f t="shared" si="25"/>
        <v>6.9444444444443088E-3</v>
      </c>
      <c r="J82" s="15">
        <v>0.70138888888888729</v>
      </c>
      <c r="K82" s="15">
        <v>0.74305555555555391</v>
      </c>
      <c r="L82" s="15">
        <v>0.69861111111110952</v>
      </c>
      <c r="M82" s="45">
        <v>0.74027777777777615</v>
      </c>
      <c r="N82" s="16">
        <f t="shared" si="12"/>
        <v>0</v>
      </c>
      <c r="O82" s="16">
        <f t="shared" si="13"/>
        <v>0</v>
      </c>
      <c r="P82" s="16">
        <f t="shared" si="14"/>
        <v>0</v>
      </c>
      <c r="Q82" s="16">
        <f t="shared" si="15"/>
        <v>0</v>
      </c>
      <c r="R82" s="39">
        <f t="shared" si="18"/>
        <v>4.166666666666663E-2</v>
      </c>
      <c r="S82" s="39">
        <f t="shared" si="19"/>
        <v>4.166666666666663E-2</v>
      </c>
    </row>
    <row r="83" spans="1:19" s="19" customFormat="1" ht="15.95" customHeight="1">
      <c r="A83" s="41">
        <f>MAX($A$4:A82)+1</f>
        <v>79</v>
      </c>
      <c r="B83" s="42">
        <v>0.70694444444444282</v>
      </c>
      <c r="C83" s="42">
        <f t="shared" si="22"/>
        <v>0.74861111111110945</v>
      </c>
      <c r="D83" s="42">
        <f t="shared" si="20"/>
        <v>5.5555555555555358E-3</v>
      </c>
      <c r="E83" s="42">
        <f t="shared" si="21"/>
        <v>5.5555555555555358E-3</v>
      </c>
      <c r="F83" s="42">
        <v>0.70416666666666505</v>
      </c>
      <c r="G83" s="42">
        <f t="shared" si="23"/>
        <v>0.74583333333333168</v>
      </c>
      <c r="H83" s="16">
        <f t="shared" si="24"/>
        <v>5.5555555555554248E-3</v>
      </c>
      <c r="I83" s="16">
        <f t="shared" si="25"/>
        <v>5.5555555555554248E-3</v>
      </c>
      <c r="J83" s="15">
        <v>0.70694444444444282</v>
      </c>
      <c r="K83" s="15">
        <v>0.74861111111110945</v>
      </c>
      <c r="L83" s="15">
        <v>0.70416666666666505</v>
      </c>
      <c r="M83" s="45">
        <v>0.74583333333333168</v>
      </c>
      <c r="N83" s="16">
        <f t="shared" si="12"/>
        <v>0</v>
      </c>
      <c r="O83" s="16">
        <f t="shared" si="13"/>
        <v>0</v>
      </c>
      <c r="P83" s="16">
        <f t="shared" si="14"/>
        <v>0</v>
      </c>
      <c r="Q83" s="16">
        <f t="shared" si="15"/>
        <v>0</v>
      </c>
      <c r="R83" s="39">
        <f t="shared" si="18"/>
        <v>4.166666666666663E-2</v>
      </c>
      <c r="S83" s="39">
        <f t="shared" si="19"/>
        <v>4.166666666666663E-2</v>
      </c>
    </row>
    <row r="84" spans="1:19" s="19" customFormat="1" ht="15.95" customHeight="1">
      <c r="A84" s="41">
        <f>MAX($A$4:A83)+1</f>
        <v>80</v>
      </c>
      <c r="B84" s="42">
        <v>0.71249999999999836</v>
      </c>
      <c r="C84" s="42">
        <f t="shared" si="22"/>
        <v>0.75416666666666499</v>
      </c>
      <c r="D84" s="42">
        <f t="shared" si="20"/>
        <v>5.5555555555555358E-3</v>
      </c>
      <c r="E84" s="42">
        <f t="shared" si="21"/>
        <v>5.5555555555555358E-3</v>
      </c>
      <c r="F84" s="42">
        <v>0.70972222222222059</v>
      </c>
      <c r="G84" s="42">
        <f t="shared" si="23"/>
        <v>0.75138888888888722</v>
      </c>
      <c r="H84" s="16">
        <f t="shared" si="24"/>
        <v>5.5555555555554248E-3</v>
      </c>
      <c r="I84" s="16">
        <f t="shared" si="25"/>
        <v>5.5555555555554248E-3</v>
      </c>
      <c r="J84" s="15">
        <v>0.71249999999999836</v>
      </c>
      <c r="K84" s="15">
        <v>0.75416666666666499</v>
      </c>
      <c r="L84" s="15">
        <v>0.70972222222222059</v>
      </c>
      <c r="M84" s="45">
        <v>0.75138888888888722</v>
      </c>
      <c r="N84" s="16">
        <f t="shared" si="12"/>
        <v>0</v>
      </c>
      <c r="O84" s="16">
        <f t="shared" si="13"/>
        <v>0</v>
      </c>
      <c r="P84" s="16">
        <f t="shared" si="14"/>
        <v>0</v>
      </c>
      <c r="Q84" s="16">
        <f t="shared" si="15"/>
        <v>0</v>
      </c>
      <c r="R84" s="39">
        <f t="shared" si="18"/>
        <v>4.166666666666663E-2</v>
      </c>
      <c r="S84" s="39">
        <f t="shared" si="19"/>
        <v>4.166666666666663E-2</v>
      </c>
    </row>
    <row r="85" spans="1:19" s="19" customFormat="1" ht="15.95" customHeight="1">
      <c r="A85" s="41">
        <f>MAX($A$4:A84)+1</f>
        <v>81</v>
      </c>
      <c r="B85" s="42">
        <v>0.71805555555555389</v>
      </c>
      <c r="C85" s="42">
        <f t="shared" ref="C85:C90" si="26">B85+$H$4</f>
        <v>0.76666666666666505</v>
      </c>
      <c r="D85" s="42">
        <f t="shared" si="20"/>
        <v>5.5555555555555358E-3</v>
      </c>
      <c r="E85" s="42">
        <f t="shared" si="21"/>
        <v>5.5555555555555358E-3</v>
      </c>
      <c r="F85" s="42">
        <v>0.71527777777777612</v>
      </c>
      <c r="G85" s="42">
        <f t="shared" ref="G85:G90" si="27">F85+$H$4</f>
        <v>0.76388888888888729</v>
      </c>
      <c r="H85" s="16">
        <f t="shared" si="24"/>
        <v>5.5555555555554248E-3</v>
      </c>
      <c r="I85" s="16">
        <f t="shared" si="25"/>
        <v>5.5555555555554248E-3</v>
      </c>
      <c r="J85" s="15">
        <v>0.71805555555555389</v>
      </c>
      <c r="K85" s="15">
        <v>0.76666666666666505</v>
      </c>
      <c r="L85" s="15">
        <v>0.71527777777777612</v>
      </c>
      <c r="M85" s="45">
        <v>0.76388888888888729</v>
      </c>
      <c r="N85" s="16">
        <f t="shared" si="12"/>
        <v>0</v>
      </c>
      <c r="O85" s="16">
        <f t="shared" si="13"/>
        <v>0</v>
      </c>
      <c r="P85" s="16">
        <f t="shared" si="14"/>
        <v>0</v>
      </c>
      <c r="Q85" s="16">
        <f t="shared" si="15"/>
        <v>0</v>
      </c>
      <c r="R85" s="39">
        <f t="shared" si="18"/>
        <v>4.861111111111116E-2</v>
      </c>
      <c r="S85" s="39">
        <f t="shared" si="19"/>
        <v>4.861111111111116E-2</v>
      </c>
    </row>
    <row r="86" spans="1:19" s="19" customFormat="1" ht="15.95" customHeight="1">
      <c r="A86" s="41">
        <f>MAX($A$4:A85)+1</f>
        <v>82</v>
      </c>
      <c r="B86" s="42">
        <v>0.72361111111110943</v>
      </c>
      <c r="C86" s="42">
        <f t="shared" si="26"/>
        <v>0.77222222222222059</v>
      </c>
      <c r="D86" s="42">
        <f t="shared" si="20"/>
        <v>5.5555555555555358E-3</v>
      </c>
      <c r="E86" s="42">
        <f t="shared" si="21"/>
        <v>5.5555555555555358E-3</v>
      </c>
      <c r="F86" s="42">
        <v>0.72083333333333166</v>
      </c>
      <c r="G86" s="42">
        <f t="shared" si="27"/>
        <v>0.76944444444444282</v>
      </c>
      <c r="H86" s="16">
        <f t="shared" si="24"/>
        <v>5.5555555555554248E-3</v>
      </c>
      <c r="I86" s="16">
        <f t="shared" si="25"/>
        <v>5.5555555555554248E-3</v>
      </c>
      <c r="J86" s="15">
        <v>0.72361111111110943</v>
      </c>
      <c r="K86" s="15">
        <v>0.77222222222222059</v>
      </c>
      <c r="L86" s="15">
        <v>0.72083333333333166</v>
      </c>
      <c r="M86" s="45">
        <v>0.76944444444444282</v>
      </c>
      <c r="N86" s="16">
        <f t="shared" si="12"/>
        <v>0</v>
      </c>
      <c r="O86" s="16">
        <f t="shared" si="13"/>
        <v>0</v>
      </c>
      <c r="P86" s="16">
        <f t="shared" si="14"/>
        <v>0</v>
      </c>
      <c r="Q86" s="16">
        <f t="shared" si="15"/>
        <v>0</v>
      </c>
      <c r="R86" s="39">
        <f t="shared" si="18"/>
        <v>4.861111111111116E-2</v>
      </c>
      <c r="S86" s="39">
        <f t="shared" si="19"/>
        <v>4.861111111111116E-2</v>
      </c>
    </row>
    <row r="87" spans="1:19" s="19" customFormat="1" ht="15.95" customHeight="1">
      <c r="A87" s="41">
        <f>MAX($A$4:A86)+1</f>
        <v>83</v>
      </c>
      <c r="B87" s="42">
        <v>0.72916666666666496</v>
      </c>
      <c r="C87" s="42">
        <f t="shared" si="26"/>
        <v>0.77777777777777612</v>
      </c>
      <c r="D87" s="42">
        <f t="shared" si="20"/>
        <v>5.5555555555555358E-3</v>
      </c>
      <c r="E87" s="42">
        <f t="shared" si="21"/>
        <v>5.5555555555555358E-3</v>
      </c>
      <c r="F87" s="42">
        <v>0.7263888888888872</v>
      </c>
      <c r="G87" s="42">
        <f t="shared" si="27"/>
        <v>0.77499999999999836</v>
      </c>
      <c r="H87" s="16">
        <f t="shared" si="24"/>
        <v>5.5555555555554248E-3</v>
      </c>
      <c r="I87" s="16">
        <f t="shared" si="25"/>
        <v>5.5555555555554248E-3</v>
      </c>
      <c r="J87" s="15">
        <v>0.72916666666666496</v>
      </c>
      <c r="K87" s="15">
        <v>0.77777777777777612</v>
      </c>
      <c r="L87" s="15">
        <v>0.7263888888888872</v>
      </c>
      <c r="M87" s="45">
        <v>0.77499999999999836</v>
      </c>
      <c r="N87" s="16">
        <f t="shared" si="12"/>
        <v>0</v>
      </c>
      <c r="O87" s="16">
        <f t="shared" si="13"/>
        <v>0</v>
      </c>
      <c r="P87" s="16">
        <f t="shared" si="14"/>
        <v>0</v>
      </c>
      <c r="Q87" s="16">
        <f t="shared" si="15"/>
        <v>0</v>
      </c>
      <c r="R87" s="39">
        <f t="shared" si="18"/>
        <v>4.861111111111116E-2</v>
      </c>
      <c r="S87" s="39">
        <f t="shared" si="19"/>
        <v>4.861111111111116E-2</v>
      </c>
    </row>
    <row r="88" spans="1:19" s="19" customFormat="1" ht="15.95" customHeight="1">
      <c r="A88" s="41">
        <f>MAX($A$4:A87)+1</f>
        <v>84</v>
      </c>
      <c r="B88" s="42">
        <v>0.7347222222222205</v>
      </c>
      <c r="C88" s="42">
        <f t="shared" si="26"/>
        <v>0.78333333333333166</v>
      </c>
      <c r="D88" s="42">
        <f t="shared" si="20"/>
        <v>5.5555555555555358E-3</v>
      </c>
      <c r="E88" s="42">
        <f t="shared" si="21"/>
        <v>6.2499999999999778E-3</v>
      </c>
      <c r="F88" s="42">
        <v>0.73263888888888717</v>
      </c>
      <c r="G88" s="42">
        <f t="shared" si="27"/>
        <v>0.78124999999999833</v>
      </c>
      <c r="H88" s="16">
        <f t="shared" si="24"/>
        <v>5.5555555555554248E-3</v>
      </c>
      <c r="I88" s="16">
        <f t="shared" si="25"/>
        <v>6.2499999999998668E-3</v>
      </c>
      <c r="J88" s="15">
        <v>0.7347222222222205</v>
      </c>
      <c r="K88" s="15">
        <v>0.78333333333333166</v>
      </c>
      <c r="L88" s="15">
        <v>0.73263888888888717</v>
      </c>
      <c r="M88" s="45">
        <v>0.78124999999999833</v>
      </c>
      <c r="N88" s="16">
        <f t="shared" si="12"/>
        <v>0</v>
      </c>
      <c r="O88" s="16">
        <f t="shared" si="13"/>
        <v>0</v>
      </c>
      <c r="P88" s="16">
        <f t="shared" si="14"/>
        <v>0</v>
      </c>
      <c r="Q88" s="16">
        <f t="shared" si="15"/>
        <v>0</v>
      </c>
      <c r="R88" s="39">
        <f t="shared" si="18"/>
        <v>4.861111111111116E-2</v>
      </c>
      <c r="S88" s="39">
        <f t="shared" si="19"/>
        <v>4.861111111111116E-2</v>
      </c>
    </row>
    <row r="89" spans="1:19" s="19" customFormat="1" ht="15.95" customHeight="1">
      <c r="A89" s="41">
        <f>MAX($A$4:A88)+1</f>
        <v>85</v>
      </c>
      <c r="B89" s="42">
        <v>0.74027777777777604</v>
      </c>
      <c r="C89" s="42">
        <f t="shared" si="26"/>
        <v>0.7888888888888872</v>
      </c>
      <c r="D89" s="42">
        <f t="shared" si="20"/>
        <v>5.5555555555555358E-3</v>
      </c>
      <c r="E89" s="42">
        <f t="shared" si="21"/>
        <v>6.9444444444444198E-3</v>
      </c>
      <c r="F89" s="42">
        <v>0.73958333333333159</v>
      </c>
      <c r="G89" s="42">
        <f t="shared" si="27"/>
        <v>0.78819444444444275</v>
      </c>
      <c r="H89" s="16">
        <f t="shared" si="24"/>
        <v>5.5555555555554248E-3</v>
      </c>
      <c r="I89" s="16">
        <f t="shared" si="25"/>
        <v>7.6388888888887507E-3</v>
      </c>
      <c r="J89" s="15">
        <v>0.74027777777777604</v>
      </c>
      <c r="K89" s="15">
        <v>0.7888888888888872</v>
      </c>
      <c r="L89" s="15">
        <v>0.73958333333333159</v>
      </c>
      <c r="M89" s="45">
        <v>0.78819444444444275</v>
      </c>
      <c r="N89" s="16">
        <f t="shared" ref="N89:N93" si="28">J89-B89</f>
        <v>0</v>
      </c>
      <c r="O89" s="16">
        <f t="shared" ref="O89:O93" si="29">K89-C89</f>
        <v>0</v>
      </c>
      <c r="P89" s="16">
        <f t="shared" ref="P89:P93" si="30">L89-F89</f>
        <v>0</v>
      </c>
      <c r="Q89" s="16">
        <f t="shared" ref="Q89:Q93" si="31">M89-G89</f>
        <v>0</v>
      </c>
      <c r="R89" s="39">
        <f t="shared" si="18"/>
        <v>4.861111111111116E-2</v>
      </c>
      <c r="S89" s="39">
        <f t="shared" si="19"/>
        <v>4.861111111111116E-2</v>
      </c>
    </row>
    <row r="90" spans="1:19" s="19" customFormat="1" ht="15.95" customHeight="1">
      <c r="A90" s="41">
        <f>MAX($A$4:A89)+1</f>
        <v>86</v>
      </c>
      <c r="B90" s="42">
        <v>0.74652777777777601</v>
      </c>
      <c r="C90" s="42">
        <f t="shared" si="26"/>
        <v>0.79513888888888717</v>
      </c>
      <c r="D90" s="42">
        <f t="shared" si="20"/>
        <v>6.2499999999999778E-3</v>
      </c>
      <c r="E90" s="42">
        <f t="shared" si="21"/>
        <v>6.9444444444444198E-3</v>
      </c>
      <c r="F90" s="42">
        <v>0.74652777777777601</v>
      </c>
      <c r="G90" s="42">
        <f t="shared" si="27"/>
        <v>0.79513888888888717</v>
      </c>
      <c r="H90" s="16">
        <f t="shared" si="24"/>
        <v>6.2499999999998668E-3</v>
      </c>
      <c r="I90" s="16">
        <f t="shared" si="25"/>
        <v>9.0277777777776347E-3</v>
      </c>
      <c r="J90" s="15">
        <v>0.74652777777777601</v>
      </c>
      <c r="K90" s="15">
        <v>0.79513888888888717</v>
      </c>
      <c r="L90" s="15">
        <v>0.74652777777777601</v>
      </c>
      <c r="M90" s="45">
        <v>0.79513888888888717</v>
      </c>
      <c r="N90" s="16">
        <f t="shared" si="28"/>
        <v>0</v>
      </c>
      <c r="O90" s="16">
        <f t="shared" si="29"/>
        <v>0</v>
      </c>
      <c r="P90" s="16">
        <f t="shared" si="30"/>
        <v>0</v>
      </c>
      <c r="Q90" s="16">
        <f t="shared" si="31"/>
        <v>0</v>
      </c>
      <c r="R90" s="39">
        <f t="shared" si="18"/>
        <v>4.861111111111116E-2</v>
      </c>
      <c r="S90" s="39">
        <f t="shared" si="19"/>
        <v>4.861111111111116E-2</v>
      </c>
    </row>
    <row r="91" spans="1:19" s="19" customFormat="1" ht="15.95" customHeight="1">
      <c r="A91" s="41">
        <f>MAX($A$4:A90)+1</f>
        <v>87</v>
      </c>
      <c r="B91" s="42">
        <v>0.75347222222222043</v>
      </c>
      <c r="C91" s="42">
        <f t="shared" ref="C91:C104" si="32">B91+$H$3</f>
        <v>0.79513888888888706</v>
      </c>
      <c r="D91" s="42">
        <f t="shared" si="20"/>
        <v>6.9444444444444198E-3</v>
      </c>
      <c r="E91" s="42">
        <f t="shared" si="21"/>
        <v>6.9444444444444198E-3</v>
      </c>
      <c r="F91" s="42">
        <v>0.75347222222222043</v>
      </c>
      <c r="G91" s="42">
        <f t="shared" ref="G91:G104" si="33">F91+$H$3</f>
        <v>0.79513888888888706</v>
      </c>
      <c r="H91" s="16">
        <f t="shared" si="24"/>
        <v>7.6388888888887507E-3</v>
      </c>
      <c r="I91" s="16">
        <f t="shared" si="25"/>
        <v>1.0416666666666519E-2</v>
      </c>
      <c r="J91" s="15">
        <v>0.75347222222222043</v>
      </c>
      <c r="K91" s="15">
        <v>0.79513888888888706</v>
      </c>
      <c r="L91" s="15">
        <v>0.75347222222222043</v>
      </c>
      <c r="M91" s="45">
        <v>0.79513888888888706</v>
      </c>
      <c r="N91" s="16">
        <f t="shared" si="28"/>
        <v>0</v>
      </c>
      <c r="O91" s="16">
        <f t="shared" si="29"/>
        <v>0</v>
      </c>
      <c r="P91" s="16">
        <f t="shared" si="30"/>
        <v>0</v>
      </c>
      <c r="Q91" s="16">
        <f t="shared" si="31"/>
        <v>0</v>
      </c>
      <c r="R91" s="39">
        <f t="shared" si="18"/>
        <v>4.166666666666663E-2</v>
      </c>
      <c r="S91" s="39">
        <f t="shared" si="19"/>
        <v>4.166666666666663E-2</v>
      </c>
    </row>
    <row r="92" spans="1:19" s="19" customFormat="1" ht="15.95" customHeight="1">
      <c r="A92" s="41">
        <f>MAX($A$4:A91)+1</f>
        <v>88</v>
      </c>
      <c r="B92" s="42">
        <v>0.76041666666666485</v>
      </c>
      <c r="C92" s="42">
        <f t="shared" si="32"/>
        <v>0.80208333333333148</v>
      </c>
      <c r="D92" s="42">
        <f t="shared" si="20"/>
        <v>6.9444444444444198E-3</v>
      </c>
      <c r="E92" s="42">
        <f t="shared" si="21"/>
        <v>6.9444444444444198E-3</v>
      </c>
      <c r="F92" s="42">
        <v>0.76041666666666485</v>
      </c>
      <c r="G92" s="42">
        <f t="shared" si="33"/>
        <v>0.80208333333333148</v>
      </c>
      <c r="H92" s="16">
        <f t="shared" si="24"/>
        <v>9.0277777777776347E-3</v>
      </c>
      <c r="I92" s="16">
        <f t="shared" si="25"/>
        <v>1.1805555555555403E-2</v>
      </c>
      <c r="J92" s="15">
        <v>0.76041666666666485</v>
      </c>
      <c r="K92" s="15">
        <v>0.80208333333333148</v>
      </c>
      <c r="L92" s="15">
        <v>0.76041666666666485</v>
      </c>
      <c r="M92" s="45">
        <v>0.80208333333333148</v>
      </c>
      <c r="N92" s="16">
        <f t="shared" si="28"/>
        <v>0</v>
      </c>
      <c r="O92" s="16">
        <f t="shared" si="29"/>
        <v>0</v>
      </c>
      <c r="P92" s="16">
        <f t="shared" si="30"/>
        <v>0</v>
      </c>
      <c r="Q92" s="16">
        <f t="shared" si="31"/>
        <v>0</v>
      </c>
      <c r="R92" s="39">
        <f t="shared" si="18"/>
        <v>4.166666666666663E-2</v>
      </c>
      <c r="S92" s="39">
        <f t="shared" si="19"/>
        <v>4.166666666666663E-2</v>
      </c>
    </row>
    <row r="93" spans="1:19" s="19" customFormat="1" ht="15.95" customHeight="1">
      <c r="A93" s="41">
        <f>MAX($A$4:A92)+1</f>
        <v>89</v>
      </c>
      <c r="B93" s="42">
        <v>0.76736111111110927</v>
      </c>
      <c r="C93" s="42">
        <f t="shared" si="32"/>
        <v>0.8090277777777759</v>
      </c>
      <c r="D93" s="42">
        <f t="shared" si="20"/>
        <v>6.9444444444444198E-3</v>
      </c>
      <c r="E93" s="42">
        <f t="shared" si="21"/>
        <v>6.9444444444444198E-3</v>
      </c>
      <c r="F93" s="42">
        <v>0.76736111111110927</v>
      </c>
      <c r="G93" s="42">
        <f t="shared" si="33"/>
        <v>0.8090277777777759</v>
      </c>
      <c r="H93" s="16">
        <f t="shared" si="24"/>
        <v>3.4722222222219878E-3</v>
      </c>
      <c r="I93" s="16">
        <f t="shared" si="25"/>
        <v>1.3194444444444287E-2</v>
      </c>
      <c r="J93" s="15">
        <v>0.76736111111110927</v>
      </c>
      <c r="K93" s="15">
        <v>0.8090277777777759</v>
      </c>
      <c r="L93" s="15">
        <v>0.76736111111110927</v>
      </c>
      <c r="M93" s="45">
        <v>0.8090277777777759</v>
      </c>
      <c r="N93" s="16">
        <f t="shared" si="28"/>
        <v>0</v>
      </c>
      <c r="O93" s="16">
        <f t="shared" si="29"/>
        <v>0</v>
      </c>
      <c r="P93" s="16">
        <f t="shared" si="30"/>
        <v>0</v>
      </c>
      <c r="Q93" s="16">
        <f t="shared" si="31"/>
        <v>0</v>
      </c>
      <c r="R93" s="39">
        <f t="shared" si="18"/>
        <v>4.166666666666663E-2</v>
      </c>
      <c r="S93" s="39">
        <f t="shared" si="19"/>
        <v>4.166666666666663E-2</v>
      </c>
    </row>
    <row r="94" spans="1:19" s="19" customFormat="1" ht="15.95" customHeight="1">
      <c r="A94" s="41">
        <f>MAX($A$4:A93)+1</f>
        <v>90</v>
      </c>
      <c r="B94" s="42">
        <v>0.77430555555555369</v>
      </c>
      <c r="C94" s="42">
        <f t="shared" si="32"/>
        <v>0.81597222222222032</v>
      </c>
      <c r="D94" s="42">
        <f t="shared" si="20"/>
        <v>6.9444444444444198E-3</v>
      </c>
      <c r="E94" s="42">
        <f t="shared" si="21"/>
        <v>6.9444444444444198E-3</v>
      </c>
      <c r="F94" s="42">
        <v>0.77430555555555369</v>
      </c>
      <c r="G94" s="42">
        <f t="shared" si="33"/>
        <v>0.81597222222222032</v>
      </c>
      <c r="H94" s="16">
        <f t="shared" si="24"/>
        <v>4.8611111111108718E-3</v>
      </c>
      <c r="I94" s="16">
        <f t="shared" si="25"/>
        <v>7.6388888888886397E-3</v>
      </c>
      <c r="J94" s="15">
        <v>0.77430555555555369</v>
      </c>
      <c r="K94" s="15">
        <v>0.81597222222222032</v>
      </c>
      <c r="L94" s="15">
        <v>0.77430555555555369</v>
      </c>
      <c r="M94" s="45">
        <v>0.81597222222222032</v>
      </c>
      <c r="N94" s="16">
        <f t="shared" ref="N94" si="34">J94-B94</f>
        <v>0</v>
      </c>
      <c r="O94" s="16">
        <f t="shared" ref="O94" si="35">K94-C94</f>
        <v>0</v>
      </c>
      <c r="P94" s="16">
        <f t="shared" ref="P94" si="36">L94-F94</f>
        <v>0</v>
      </c>
      <c r="Q94" s="16">
        <f t="shared" ref="Q94" si="37">M94-G94</f>
        <v>0</v>
      </c>
      <c r="R94" s="39">
        <f t="shared" si="18"/>
        <v>4.166666666666663E-2</v>
      </c>
      <c r="S94" s="39">
        <f t="shared" si="19"/>
        <v>4.166666666666663E-2</v>
      </c>
    </row>
    <row r="95" spans="1:19" s="19" customFormat="1" ht="15.95" customHeight="1">
      <c r="A95" s="41">
        <f>MAX($A$4:A94)+1</f>
        <v>91</v>
      </c>
      <c r="B95" s="42">
        <v>0.78124999999999811</v>
      </c>
      <c r="C95" s="42">
        <f t="shared" si="32"/>
        <v>0.82291666666666474</v>
      </c>
      <c r="D95" s="42">
        <f t="shared" si="20"/>
        <v>6.9444444444444198E-3</v>
      </c>
      <c r="E95" s="42">
        <f t="shared" si="21"/>
        <v>6.9444444444444198E-3</v>
      </c>
      <c r="F95" s="42">
        <v>0.78124999999999811</v>
      </c>
      <c r="G95" s="42">
        <f t="shared" si="33"/>
        <v>0.82291666666666474</v>
      </c>
      <c r="H95" s="16">
        <f t="shared" si="24"/>
        <v>6.2499999999997558E-3</v>
      </c>
      <c r="I95" s="16">
        <f t="shared" si="25"/>
        <v>9.0277777777775237E-3</v>
      </c>
      <c r="J95" s="15">
        <v>0.78124999999999811</v>
      </c>
      <c r="K95" s="15">
        <v>0.82291666666666474</v>
      </c>
      <c r="L95" s="15">
        <v>0.78124999999999811</v>
      </c>
      <c r="M95" s="45">
        <v>0.82291666666666474</v>
      </c>
      <c r="N95" s="16">
        <f t="shared" ref="N95:O103" si="38">J95-B95</f>
        <v>0</v>
      </c>
      <c r="O95" s="16">
        <f t="shared" si="38"/>
        <v>0</v>
      </c>
      <c r="P95" s="16">
        <f t="shared" ref="P95:Q103" si="39">L95-F95</f>
        <v>0</v>
      </c>
      <c r="Q95" s="16">
        <f t="shared" si="39"/>
        <v>0</v>
      </c>
      <c r="R95" s="39">
        <f t="shared" si="18"/>
        <v>4.166666666666663E-2</v>
      </c>
      <c r="S95" s="39">
        <f t="shared" si="19"/>
        <v>4.166666666666663E-2</v>
      </c>
    </row>
    <row r="96" spans="1:19" s="19" customFormat="1" ht="15.95" customHeight="1">
      <c r="A96" s="41">
        <f>MAX($A$4:A95)+1</f>
        <v>92</v>
      </c>
      <c r="B96" s="42">
        <v>0.78819444444444253</v>
      </c>
      <c r="C96" s="42">
        <f t="shared" si="32"/>
        <v>0.82986111111110916</v>
      </c>
      <c r="D96" s="42">
        <f t="shared" si="20"/>
        <v>6.9444444444444198E-3</v>
      </c>
      <c r="E96" s="42">
        <f t="shared" si="21"/>
        <v>6.9444444444444198E-3</v>
      </c>
      <c r="F96" s="42">
        <v>0.78819444444444253</v>
      </c>
      <c r="G96" s="42">
        <f t="shared" si="33"/>
        <v>0.82986111111110916</v>
      </c>
      <c r="H96" s="16">
        <f t="shared" si="24"/>
        <v>6.9444444444441977E-3</v>
      </c>
      <c r="I96" s="16">
        <f t="shared" si="25"/>
        <v>1.0416666666666408E-2</v>
      </c>
      <c r="J96" s="15">
        <v>0.78819444444444253</v>
      </c>
      <c r="K96" s="15">
        <v>0.82986111111110916</v>
      </c>
      <c r="L96" s="15">
        <v>0.78819444444444253</v>
      </c>
      <c r="M96" s="45">
        <v>0.82986111111110916</v>
      </c>
      <c r="N96" s="16">
        <f t="shared" si="38"/>
        <v>0</v>
      </c>
      <c r="O96" s="16">
        <f t="shared" si="38"/>
        <v>0</v>
      </c>
      <c r="P96" s="16">
        <f t="shared" si="39"/>
        <v>0</v>
      </c>
      <c r="Q96" s="16">
        <f t="shared" si="39"/>
        <v>0</v>
      </c>
      <c r="R96" s="39">
        <f t="shared" si="18"/>
        <v>4.166666666666663E-2</v>
      </c>
      <c r="S96" s="39">
        <f t="shared" si="19"/>
        <v>4.166666666666663E-2</v>
      </c>
    </row>
    <row r="97" spans="1:19" s="19" customFormat="1" ht="15.95" customHeight="1">
      <c r="A97" s="41">
        <f>MAX($A$4:A96)+1</f>
        <v>93</v>
      </c>
      <c r="B97" s="42">
        <v>0.79513888888888695</v>
      </c>
      <c r="C97" s="42">
        <f t="shared" si="32"/>
        <v>0.83680555555555358</v>
      </c>
      <c r="D97" s="42">
        <f t="shared" si="20"/>
        <v>6.9444444444444198E-3</v>
      </c>
      <c r="E97" s="42">
        <f t="shared" si="21"/>
        <v>6.9444444444444198E-3</v>
      </c>
      <c r="F97" s="42">
        <v>0.79513888888888695</v>
      </c>
      <c r="G97" s="42">
        <f t="shared" si="33"/>
        <v>0.83680555555555358</v>
      </c>
      <c r="H97" s="16">
        <f t="shared" si="24"/>
        <v>6.9444444444441977E-3</v>
      </c>
      <c r="I97" s="16">
        <f t="shared" si="25"/>
        <v>1.1805555555555292E-2</v>
      </c>
      <c r="J97" s="15">
        <v>0.79513888888888695</v>
      </c>
      <c r="K97" s="15">
        <v>0.83680555555555358</v>
      </c>
      <c r="L97" s="15">
        <v>0.79513888888888695</v>
      </c>
      <c r="M97" s="45">
        <v>0.83680555555555358</v>
      </c>
      <c r="N97" s="16">
        <f t="shared" si="38"/>
        <v>0</v>
      </c>
      <c r="O97" s="16">
        <f t="shared" si="38"/>
        <v>0</v>
      </c>
      <c r="P97" s="16">
        <f t="shared" si="39"/>
        <v>0</v>
      </c>
      <c r="Q97" s="16">
        <f t="shared" si="39"/>
        <v>0</v>
      </c>
      <c r="R97" s="39">
        <f t="shared" si="18"/>
        <v>4.166666666666663E-2</v>
      </c>
      <c r="S97" s="39">
        <f t="shared" si="19"/>
        <v>4.166666666666663E-2</v>
      </c>
    </row>
    <row r="98" spans="1:19" s="19" customFormat="1" ht="15.95" customHeight="1">
      <c r="A98" s="41">
        <f>MAX($A$4:A97)+1</f>
        <v>94</v>
      </c>
      <c r="B98" s="42">
        <v>0.80208333333333137</v>
      </c>
      <c r="C98" s="42">
        <f t="shared" si="32"/>
        <v>0.843749999999998</v>
      </c>
      <c r="D98" s="42">
        <f t="shared" si="20"/>
        <v>6.9444444444444198E-3</v>
      </c>
      <c r="E98" s="42">
        <f t="shared" si="21"/>
        <v>6.9444444444444198E-3</v>
      </c>
      <c r="F98" s="42">
        <v>0.80208333333333137</v>
      </c>
      <c r="G98" s="42">
        <f t="shared" si="33"/>
        <v>0.843749999999998</v>
      </c>
      <c r="H98" s="16">
        <f t="shared" si="24"/>
        <v>6.9444444444441977E-3</v>
      </c>
      <c r="I98" s="16">
        <f t="shared" si="25"/>
        <v>1.3194444444444176E-2</v>
      </c>
      <c r="J98" s="15">
        <v>0.80208333333333137</v>
      </c>
      <c r="K98" s="15">
        <v>0.843749999999998</v>
      </c>
      <c r="L98" s="15">
        <v>0.80208333333333137</v>
      </c>
      <c r="M98" s="45">
        <v>0.843749999999998</v>
      </c>
      <c r="N98" s="16">
        <f t="shared" si="38"/>
        <v>0</v>
      </c>
      <c r="O98" s="16">
        <f t="shared" si="38"/>
        <v>0</v>
      </c>
      <c r="P98" s="16">
        <f t="shared" si="39"/>
        <v>0</v>
      </c>
      <c r="Q98" s="16">
        <f t="shared" si="39"/>
        <v>0</v>
      </c>
      <c r="R98" s="39">
        <f t="shared" si="18"/>
        <v>4.166666666666663E-2</v>
      </c>
      <c r="S98" s="39">
        <f t="shared" si="19"/>
        <v>4.166666666666663E-2</v>
      </c>
    </row>
    <row r="99" spans="1:19" s="19" customFormat="1" ht="15.95" customHeight="1">
      <c r="A99" s="41">
        <f>MAX($A$4:A98)+1</f>
        <v>95</v>
      </c>
      <c r="B99" s="42">
        <v>0.80902777777777579</v>
      </c>
      <c r="C99" s="42">
        <f t="shared" si="32"/>
        <v>0.85069444444444242</v>
      </c>
      <c r="D99" s="42">
        <f t="shared" si="20"/>
        <v>6.9444444444444198E-3</v>
      </c>
      <c r="E99" s="42">
        <f t="shared" si="21"/>
        <v>6.9444444444444198E-3</v>
      </c>
      <c r="F99" s="42">
        <v>0.80902777777777579</v>
      </c>
      <c r="G99" s="42">
        <f t="shared" si="33"/>
        <v>0.85069444444444242</v>
      </c>
      <c r="H99" s="16">
        <f t="shared" si="24"/>
        <v>1.3888888888888729E-2</v>
      </c>
      <c r="I99" s="16">
        <f t="shared" si="25"/>
        <v>1.3888888888888618E-2</v>
      </c>
      <c r="J99" s="15">
        <v>0.80902777777777579</v>
      </c>
      <c r="K99" s="15">
        <v>0.85069444444444242</v>
      </c>
      <c r="L99" s="15">
        <v>0.80902777777777579</v>
      </c>
      <c r="M99" s="45">
        <v>0.85069444444444242</v>
      </c>
      <c r="N99" s="16">
        <f t="shared" si="38"/>
        <v>0</v>
      </c>
      <c r="O99" s="16">
        <f t="shared" si="38"/>
        <v>0</v>
      </c>
      <c r="P99" s="16">
        <f t="shared" si="39"/>
        <v>0</v>
      </c>
      <c r="Q99" s="16">
        <f t="shared" si="39"/>
        <v>0</v>
      </c>
      <c r="R99" s="39">
        <f t="shared" si="18"/>
        <v>4.166666666666663E-2</v>
      </c>
      <c r="S99" s="39">
        <f t="shared" si="19"/>
        <v>4.166666666666663E-2</v>
      </c>
    </row>
    <row r="100" spans="1:19" s="19" customFormat="1" ht="15.95" customHeight="1">
      <c r="A100" s="41">
        <f>MAX($A$4:A99)+1</f>
        <v>96</v>
      </c>
      <c r="B100" s="42">
        <v>0.81597222222222021</v>
      </c>
      <c r="C100" s="42">
        <f t="shared" si="32"/>
        <v>0.85763888888888684</v>
      </c>
      <c r="D100" s="42">
        <f t="shared" si="20"/>
        <v>6.9444444444444198E-3</v>
      </c>
      <c r="E100" s="42">
        <f t="shared" si="21"/>
        <v>6.9444444444444198E-3</v>
      </c>
      <c r="F100" s="42">
        <v>0.81597222222222021</v>
      </c>
      <c r="G100" s="42">
        <f t="shared" si="33"/>
        <v>0.85763888888888684</v>
      </c>
      <c r="H100" s="16">
        <f t="shared" si="24"/>
        <v>1.3888888888888729E-2</v>
      </c>
      <c r="I100" s="16">
        <f t="shared" si="25"/>
        <v>2.0833333333333148E-2</v>
      </c>
      <c r="J100" s="15">
        <v>0.81597222222222021</v>
      </c>
      <c r="K100" s="15">
        <v>0.85763888888888684</v>
      </c>
      <c r="L100" s="15">
        <v>0.81597222222222021</v>
      </c>
      <c r="M100" s="45">
        <v>0.85763888888888684</v>
      </c>
      <c r="N100" s="16">
        <f t="shared" si="38"/>
        <v>0</v>
      </c>
      <c r="O100" s="16">
        <f t="shared" si="38"/>
        <v>0</v>
      </c>
      <c r="P100" s="16">
        <f t="shared" si="39"/>
        <v>0</v>
      </c>
      <c r="Q100" s="16">
        <f t="shared" si="39"/>
        <v>0</v>
      </c>
      <c r="R100" s="39">
        <f t="shared" si="18"/>
        <v>4.166666666666663E-2</v>
      </c>
      <c r="S100" s="39">
        <f t="shared" si="19"/>
        <v>4.166666666666663E-2</v>
      </c>
    </row>
    <row r="101" spans="1:19" s="19" customFormat="1" ht="15.95" customHeight="1">
      <c r="A101" s="41">
        <f>MAX($A$4:A100)+1</f>
        <v>97</v>
      </c>
      <c r="B101" s="42">
        <v>0.82291666666666463</v>
      </c>
      <c r="C101" s="42">
        <f t="shared" si="32"/>
        <v>0.86458333333333126</v>
      </c>
      <c r="D101" s="42">
        <f t="shared" si="20"/>
        <v>6.9444444444444198E-3</v>
      </c>
      <c r="E101" s="42">
        <f t="shared" si="21"/>
        <v>6.9444444444444198E-3</v>
      </c>
      <c r="F101" s="42">
        <v>0.82291666666666463</v>
      </c>
      <c r="G101" s="42">
        <f t="shared" si="33"/>
        <v>0.86458333333333126</v>
      </c>
      <c r="H101" s="16">
        <f t="shared" si="24"/>
        <v>1.3888888888888729E-2</v>
      </c>
      <c r="I101" s="16">
        <f t="shared" si="25"/>
        <v>2.0833333333333148E-2</v>
      </c>
      <c r="J101" s="15">
        <v>0.82291666666666463</v>
      </c>
      <c r="K101" s="15">
        <v>0.86458333333333126</v>
      </c>
      <c r="L101" s="15">
        <v>0.82291666666666463</v>
      </c>
      <c r="M101" s="45">
        <v>0.86458333333333126</v>
      </c>
      <c r="N101" s="16">
        <f t="shared" si="38"/>
        <v>0</v>
      </c>
      <c r="O101" s="16">
        <f t="shared" si="38"/>
        <v>0</v>
      </c>
      <c r="P101" s="16">
        <f t="shared" si="39"/>
        <v>0</v>
      </c>
      <c r="Q101" s="16">
        <f t="shared" si="39"/>
        <v>0</v>
      </c>
      <c r="R101" s="39">
        <f t="shared" si="18"/>
        <v>4.166666666666663E-2</v>
      </c>
      <c r="S101" s="39">
        <f t="shared" si="19"/>
        <v>4.166666666666663E-2</v>
      </c>
    </row>
    <row r="102" spans="1:19" s="19" customFormat="1" ht="15.95" customHeight="1">
      <c r="A102" s="41">
        <f>MAX($A$4:A101)+1</f>
        <v>98</v>
      </c>
      <c r="B102" s="42">
        <v>0.82986111111110905</v>
      </c>
      <c r="C102" s="42">
        <f t="shared" si="32"/>
        <v>0.87152777777777568</v>
      </c>
      <c r="D102" s="42">
        <f t="shared" si="20"/>
        <v>6.9444444444444198E-3</v>
      </c>
      <c r="E102" s="42">
        <f t="shared" si="21"/>
        <v>6.9444444444444198E-3</v>
      </c>
      <c r="F102" s="42">
        <v>0.82986111111110905</v>
      </c>
      <c r="G102" s="42">
        <f t="shared" si="33"/>
        <v>0.87152777777777568</v>
      </c>
      <c r="H102" s="16">
        <f t="shared" si="24"/>
        <v>1.3888888888888729E-2</v>
      </c>
      <c r="I102" s="16">
        <f t="shared" si="25"/>
        <v>2.0833333333333148E-2</v>
      </c>
      <c r="J102" s="15">
        <v>0.82986111111110905</v>
      </c>
      <c r="K102" s="15">
        <v>0.87152777777777568</v>
      </c>
      <c r="L102" s="15">
        <v>0.82986111111110905</v>
      </c>
      <c r="M102" s="45">
        <v>0.87152777777777568</v>
      </c>
      <c r="N102" s="16">
        <f t="shared" si="38"/>
        <v>0</v>
      </c>
      <c r="O102" s="16">
        <f t="shared" si="38"/>
        <v>0</v>
      </c>
      <c r="P102" s="16">
        <f t="shared" si="39"/>
        <v>0</v>
      </c>
      <c r="Q102" s="16">
        <f t="shared" si="39"/>
        <v>0</v>
      </c>
      <c r="R102" s="39">
        <f t="shared" si="18"/>
        <v>4.166666666666663E-2</v>
      </c>
      <c r="S102" s="39">
        <f t="shared" si="19"/>
        <v>4.166666666666663E-2</v>
      </c>
    </row>
    <row r="103" spans="1:19" s="19" customFormat="1" ht="15.95" customHeight="1">
      <c r="A103" s="41">
        <f>MAX($A$4:A102)+1</f>
        <v>99</v>
      </c>
      <c r="B103" s="42">
        <v>0.83680555555555347</v>
      </c>
      <c r="C103" s="42">
        <f t="shared" si="32"/>
        <v>0.8784722222222201</v>
      </c>
      <c r="D103" s="42">
        <f t="shared" si="20"/>
        <v>6.9444444444444198E-3</v>
      </c>
      <c r="E103" s="42">
        <f t="shared" si="21"/>
        <v>6.9444444444444198E-3</v>
      </c>
      <c r="F103" s="42">
        <v>0.83680555555555347</v>
      </c>
      <c r="G103" s="42">
        <f t="shared" si="33"/>
        <v>0.8784722222222201</v>
      </c>
      <c r="H103" s="16">
        <f t="shared" si="24"/>
        <v>1.3888888888888729E-2</v>
      </c>
      <c r="I103" s="16">
        <f t="shared" si="25"/>
        <v>2.0833333333333148E-2</v>
      </c>
      <c r="J103" s="15">
        <v>0.83680555555555347</v>
      </c>
      <c r="K103" s="15">
        <v>0.8784722222222201</v>
      </c>
      <c r="L103" s="15">
        <v>0.83680555555555347</v>
      </c>
      <c r="M103" s="45">
        <v>0.8784722222222201</v>
      </c>
      <c r="N103" s="16">
        <f t="shared" si="38"/>
        <v>0</v>
      </c>
      <c r="O103" s="16">
        <f t="shared" si="38"/>
        <v>0</v>
      </c>
      <c r="P103" s="16">
        <f t="shared" si="39"/>
        <v>0</v>
      </c>
      <c r="Q103" s="16">
        <f t="shared" si="39"/>
        <v>0</v>
      </c>
      <c r="R103" s="39">
        <f t="shared" si="18"/>
        <v>4.166666666666663E-2</v>
      </c>
      <c r="S103" s="39">
        <f t="shared" si="19"/>
        <v>4.166666666666663E-2</v>
      </c>
    </row>
    <row r="104" spans="1:19" s="19" customFormat="1" ht="15.95" customHeight="1">
      <c r="A104" s="41">
        <f>MAX($A$4:A103)+1</f>
        <v>100</v>
      </c>
      <c r="B104" s="42">
        <v>0.84374999999999789</v>
      </c>
      <c r="C104" s="42">
        <f t="shared" si="32"/>
        <v>0.88541666666666452</v>
      </c>
      <c r="D104" s="42">
        <f t="shared" si="20"/>
        <v>6.9444444444444198E-3</v>
      </c>
      <c r="E104" s="42">
        <f t="shared" si="21"/>
        <v>6.9444444444444198E-3</v>
      </c>
      <c r="F104" s="42">
        <v>0.84374999999999789</v>
      </c>
      <c r="G104" s="42">
        <f t="shared" si="33"/>
        <v>0.88541666666666452</v>
      </c>
      <c r="H104" s="16">
        <f t="shared" si="24"/>
        <v>1.3888888888888729E-2</v>
      </c>
      <c r="I104" s="16">
        <f t="shared" si="25"/>
        <v>2.0833333333333148E-2</v>
      </c>
      <c r="J104" s="15">
        <v>0.84374999999999789</v>
      </c>
      <c r="K104" s="15">
        <v>0.88541666666666452</v>
      </c>
      <c r="L104" s="15">
        <v>0.84374999999999789</v>
      </c>
      <c r="M104" s="45">
        <v>0.88541666666666452</v>
      </c>
      <c r="N104" s="16">
        <f t="shared" ref="N104:O104" si="40">J104-B104</f>
        <v>0</v>
      </c>
      <c r="O104" s="16">
        <f t="shared" si="40"/>
        <v>0</v>
      </c>
      <c r="P104" s="16">
        <f t="shared" ref="P104:Q104" si="41">L104-F104</f>
        <v>0</v>
      </c>
      <c r="Q104" s="16">
        <f t="shared" si="41"/>
        <v>0</v>
      </c>
      <c r="R104" s="39">
        <f t="shared" si="18"/>
        <v>4.166666666666663E-2</v>
      </c>
      <c r="S104" s="39">
        <f t="shared" si="19"/>
        <v>4.166666666666663E-2</v>
      </c>
    </row>
    <row r="105" spans="1:19" s="19" customFormat="1" ht="14.25">
      <c r="A105" s="35"/>
      <c r="B105" s="36"/>
      <c r="C105" s="36"/>
      <c r="D105" s="36"/>
      <c r="E105" s="36"/>
      <c r="F105" s="36"/>
      <c r="G105" s="36"/>
      <c r="H105" s="16"/>
      <c r="I105" s="16"/>
      <c r="J105" s="36"/>
      <c r="K105" s="36"/>
      <c r="L105" s="36"/>
      <c r="M105" s="36"/>
      <c r="N105" s="16"/>
      <c r="O105" s="16"/>
      <c r="P105" s="16"/>
      <c r="Q105" s="16"/>
    </row>
    <row r="106" spans="1:19" ht="16.5" customHeight="1">
      <c r="A106" s="17"/>
      <c r="B106" s="20" t="s">
        <v>2</v>
      </c>
      <c r="C106" s="21">
        <f>A104*2</f>
        <v>200</v>
      </c>
      <c r="D106" s="22"/>
      <c r="E106" s="23"/>
      <c r="F106" s="24" t="s">
        <v>3</v>
      </c>
      <c r="G106" s="25"/>
      <c r="H106" s="16">
        <f>MIN($H$4:$H$104)</f>
        <v>3.4722222222219878E-3</v>
      </c>
      <c r="I106" s="16">
        <f>MIN($I$5:$I$104)</f>
        <v>5.5555555555553693E-3</v>
      </c>
      <c r="J106" s="17"/>
      <c r="K106" s="17"/>
    </row>
    <row r="107" spans="1:19" ht="17.25" customHeight="1">
      <c r="A107" s="17"/>
      <c r="B107" s="28" t="s">
        <v>4</v>
      </c>
      <c r="C107" s="21" t="s">
        <v>22</v>
      </c>
      <c r="D107" s="17"/>
      <c r="E107" s="25"/>
      <c r="F107" s="28" t="s">
        <v>5</v>
      </c>
      <c r="G107" s="26"/>
      <c r="H107" s="17"/>
      <c r="I107" s="16"/>
      <c r="J107" s="17"/>
      <c r="K107" s="17"/>
    </row>
    <row r="108" spans="1:19" ht="17.25" customHeight="1">
      <c r="A108" s="17"/>
      <c r="B108" s="28" t="s">
        <v>6</v>
      </c>
      <c r="C108" s="21"/>
      <c r="D108" s="17"/>
      <c r="E108" s="30"/>
      <c r="F108" s="28"/>
      <c r="G108" s="26"/>
      <c r="H108" s="17"/>
      <c r="I108" s="16"/>
      <c r="J108" s="17"/>
      <c r="K108" s="17"/>
    </row>
    <row r="109" spans="1:19" ht="17.25" customHeight="1">
      <c r="A109" s="17"/>
      <c r="B109" s="28" t="s">
        <v>7</v>
      </c>
      <c r="C109" s="21">
        <f>HOUR(MIN($D$6:$E$104))*60+MINUTE(MIN($D$6:$E$104))</f>
        <v>8</v>
      </c>
      <c r="D109" s="17"/>
      <c r="E109" s="31"/>
      <c r="F109" s="28" t="s">
        <v>5</v>
      </c>
      <c r="G109" s="26"/>
      <c r="H109" s="17"/>
      <c r="I109" s="16"/>
      <c r="J109" s="17"/>
      <c r="K109" s="17"/>
    </row>
    <row r="110" spans="1:19" ht="17.25" customHeight="1">
      <c r="A110" s="17"/>
      <c r="B110" s="28" t="s">
        <v>8</v>
      </c>
      <c r="C110" s="21">
        <f>HOUR(MAX($D$6:$E$104))*60+MINUTE(MAX($D$6:$E$104))</f>
        <v>10</v>
      </c>
      <c r="D110" s="17"/>
      <c r="E110" s="26"/>
      <c r="F110" s="28" t="s">
        <v>5</v>
      </c>
      <c r="G110" s="26"/>
      <c r="H110" s="17"/>
      <c r="I110" s="16"/>
      <c r="J110" s="17"/>
      <c r="K110" s="17"/>
    </row>
    <row r="111" spans="1:19">
      <c r="A111" s="17"/>
      <c r="B111" s="17"/>
      <c r="C111" s="17"/>
      <c r="D111" s="17"/>
      <c r="E111" s="32"/>
      <c r="F111" s="17"/>
      <c r="G111" s="26"/>
      <c r="H111" s="17"/>
      <c r="I111" s="17"/>
      <c r="J111" s="17"/>
      <c r="K111" s="17"/>
    </row>
    <row r="112" spans="1:19" hidden="1">
      <c r="A112" s="33" t="s">
        <v>9</v>
      </c>
      <c r="B112" s="33"/>
      <c r="C112" s="33"/>
      <c r="D112" s="33"/>
      <c r="E112" s="33"/>
      <c r="F112" s="17"/>
      <c r="G112" s="26"/>
      <c r="H112" s="17"/>
      <c r="I112" s="17"/>
      <c r="J112" s="17"/>
      <c r="K112" s="17"/>
    </row>
    <row r="113" spans="1:5" hidden="1">
      <c r="A113" s="34" t="s">
        <v>10</v>
      </c>
      <c r="B113" s="34"/>
      <c r="C113" s="34"/>
      <c r="D113" s="34"/>
      <c r="E113" s="34"/>
    </row>
  </sheetData>
  <autoFilter ref="B4:S4" xr:uid="{00000000-0009-0000-0000-000004000000}"/>
  <mergeCells count="3">
    <mergeCell ref="A1:G1"/>
    <mergeCell ref="A3:A4"/>
    <mergeCell ref="A2:G2"/>
  </mergeCells>
  <conditionalFormatting sqref="H2:H4">
    <cfRule type="cellIs" dxfId="1" priority="1" operator="lessThan">
      <formula>0.00347222222222222</formula>
    </cfRule>
  </conditionalFormatting>
  <conditionalFormatting sqref="H6:I104">
    <cfRule type="cellIs" dxfId="0" priority="5" operator="lessThan">
      <formula>0.00347222222222222</formula>
    </cfRule>
  </conditionalFormatting>
  <pageMargins left="0.7" right="0.7" top="0.59" bottom="0.75" header="0.3" footer="0.3"/>
  <pageSetup paperSize="9" firstPageNumber="3" orientation="portrait" r:id="rId1"/>
  <headerFooter differentFirst="1" alignWithMargins="0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58</vt:lpstr>
      <vt:lpstr>30</vt:lpstr>
      <vt:lpstr>38</vt:lpstr>
      <vt:lpstr>130</vt:lpstr>
      <vt:lpstr>170</vt:lpstr>
      <vt:lpstr>200</vt:lpstr>
      <vt:lpstr>'130'!Print_Titles</vt:lpstr>
      <vt:lpstr>'170'!Print_Titles</vt:lpstr>
      <vt:lpstr>'200'!Print_Titles</vt:lpstr>
      <vt:lpstr>'30'!Print_Titles</vt:lpstr>
      <vt:lpstr>'38'!Print_Titles</vt:lpstr>
      <vt:lpstr>'58'!Print_Titles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ttp</dc:creator>
  <cp:lastModifiedBy>cuc ta</cp:lastModifiedBy>
  <cp:lastPrinted>2025-04-28T07:27:00Z</cp:lastPrinted>
  <dcterms:created xsi:type="dcterms:W3CDTF">2016-02-03T03:57:21Z</dcterms:created>
  <dcterms:modified xsi:type="dcterms:W3CDTF">2025-04-28T07:48:52Z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2025-01-08T04:09:52Z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9efd5ab7-85b6-4f66-9508-9b41d958fc50</vt:lpwstr>
  </property>
  <property fmtid="{D5CDD505-2E9C-101B-9397-08002B2CF9AE}" pid="7" name="MSIP_Label_defa4170-0d19-0005-0004-bc88714345d2_ActionId">
    <vt:lpwstr>a15bdf87-55a4-47ab-8258-06be23f7291b</vt:lpwstr>
  </property>
  <property fmtid="{D5CDD505-2E9C-101B-9397-08002B2CF9AE}" pid="8" name="MSIP_Label_defa4170-0d19-0005-0004-bc88714345d2_ContentBits">
    <vt:lpwstr>0</vt:lpwstr>
  </property>
</Properties>
</file>